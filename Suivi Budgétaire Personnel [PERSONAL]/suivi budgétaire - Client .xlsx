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Suivi Budgétaire Personnel [PERSONAL]\"/>
    </mc:Choice>
  </mc:AlternateContent>
  <xr:revisionPtr revIDLastSave="0" documentId="13_ncr:1_{140213C0-E9C8-4785-ADE2-AEED21389EAB}" xr6:coauthVersionLast="47" xr6:coauthVersionMax="47" xr10:uidLastSave="{00000000-0000-0000-0000-000000000000}"/>
  <bookViews>
    <workbookView xWindow="-2385" yWindow="-15870" windowWidth="25440" windowHeight="15270" xr2:uid="{B46241C7-DE95-4893-B7BB-4291BAC4894C}"/>
  </bookViews>
  <sheets>
    <sheet name="ANNEE" sheetId="67" r:id="rId1"/>
    <sheet name="TABLEAU ANNUEL" sheetId="1" r:id="rId2"/>
    <sheet name="Résumé BUDGET Mensuel" sheetId="19" r:id="rId3"/>
    <sheet name="Résumé BUDGET Trimestriel" sheetId="50" r:id="rId4"/>
    <sheet name="TABLEAU TRIMESTRIEL" sheetId="16" r:id="rId5"/>
    <sheet name="Janvier" sheetId="84" r:id="rId6"/>
    <sheet name="Février" sheetId="88" r:id="rId7"/>
    <sheet name="Mars" sheetId="95" r:id="rId8"/>
    <sheet name="Avril" sheetId="96" r:id="rId9"/>
    <sheet name="Mai" sheetId="97" r:id="rId10"/>
    <sheet name="Juin" sheetId="98" r:id="rId11"/>
    <sheet name="Juillet" sheetId="99" r:id="rId12"/>
    <sheet name="Août" sheetId="100" r:id="rId13"/>
    <sheet name="Septembre" sheetId="101" r:id="rId14"/>
    <sheet name="Octobre" sheetId="102" r:id="rId15"/>
    <sheet name="Novembre" sheetId="103" r:id="rId16"/>
    <sheet name="Décembre" sheetId="94" r:id="rId17"/>
    <sheet name="Transaction" sheetId="80" r:id="rId18"/>
  </sheets>
  <definedNames>
    <definedName name="_xlnm._FilterDatabase" localSheetId="4" hidden="1">'TABLEAU TRIMESTRIEL'!$B$40:$B$43</definedName>
    <definedName name="_xlcn.WorksheetConnection_suivibudgétaireCopie.xlsxTransactions1" hidden="1">Transactions</definedName>
    <definedName name="DonnéesExternes_2" localSheetId="17" hidden="1">Transaction!$A$1:$K$998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suivi budgétaire - Copie.xlsx!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80" l="1" a="1"/>
  <c r="M2" i="80" s="1"/>
  <c r="P91" i="103"/>
  <c r="Q91" i="103" s="1"/>
  <c r="F91" i="103"/>
  <c r="H91" i="103" s="1"/>
  <c r="P90" i="103"/>
  <c r="Q90" i="103" s="1"/>
  <c r="F90" i="103"/>
  <c r="H90" i="103" s="1"/>
  <c r="P89" i="103"/>
  <c r="Q89" i="103" s="1"/>
  <c r="F89" i="103"/>
  <c r="H89" i="103" s="1"/>
  <c r="P88" i="103"/>
  <c r="Q88" i="103" s="1"/>
  <c r="F88" i="103"/>
  <c r="H88" i="103" s="1"/>
  <c r="P87" i="103"/>
  <c r="Q87" i="103" s="1"/>
  <c r="F87" i="103"/>
  <c r="H87" i="103" s="1"/>
  <c r="P86" i="103"/>
  <c r="Q86" i="103" s="1"/>
  <c r="F86" i="103"/>
  <c r="H86" i="103" s="1"/>
  <c r="P85" i="103"/>
  <c r="Q85" i="103" s="1"/>
  <c r="F85" i="103"/>
  <c r="H85" i="103" s="1"/>
  <c r="P84" i="103"/>
  <c r="Q84" i="103" s="1"/>
  <c r="F84" i="103"/>
  <c r="H84" i="103" s="1"/>
  <c r="P83" i="103"/>
  <c r="Q83" i="103" s="1"/>
  <c r="F83" i="103"/>
  <c r="H83" i="103" s="1"/>
  <c r="P82" i="103"/>
  <c r="Q82" i="103" s="1"/>
  <c r="F82" i="103"/>
  <c r="H82" i="103" s="1"/>
  <c r="P81" i="103"/>
  <c r="Q81" i="103" s="1"/>
  <c r="F81" i="103"/>
  <c r="H81" i="103" s="1"/>
  <c r="P80" i="103"/>
  <c r="Q80" i="103" s="1"/>
  <c r="F80" i="103"/>
  <c r="H80" i="103" s="1"/>
  <c r="P79" i="103"/>
  <c r="Q79" i="103" s="1"/>
  <c r="F79" i="103"/>
  <c r="H79" i="103" s="1"/>
  <c r="P78" i="103"/>
  <c r="Q78" i="103" s="1"/>
  <c r="F78" i="103"/>
  <c r="H78" i="103" s="1"/>
  <c r="P77" i="103"/>
  <c r="Q77" i="103" s="1"/>
  <c r="F77" i="103"/>
  <c r="H77" i="103" s="1"/>
  <c r="P76" i="103"/>
  <c r="Q76" i="103" s="1"/>
  <c r="F76" i="103"/>
  <c r="H76" i="103" s="1"/>
  <c r="P75" i="103"/>
  <c r="Q75" i="103" s="1"/>
  <c r="F75" i="103"/>
  <c r="H75" i="103" s="1"/>
  <c r="P74" i="103"/>
  <c r="Q74" i="103" s="1"/>
  <c r="F74" i="103"/>
  <c r="H74" i="103" s="1"/>
  <c r="P73" i="103"/>
  <c r="Q73" i="103" s="1"/>
  <c r="F73" i="103"/>
  <c r="H73" i="103" s="1"/>
  <c r="P72" i="103"/>
  <c r="Q72" i="103" s="1"/>
  <c r="F72" i="103"/>
  <c r="H72" i="103" s="1"/>
  <c r="P71" i="103"/>
  <c r="Q71" i="103" s="1"/>
  <c r="F71" i="103"/>
  <c r="H71" i="103" s="1"/>
  <c r="P70" i="103"/>
  <c r="Q70" i="103" s="1"/>
  <c r="F70" i="103"/>
  <c r="H70" i="103" s="1"/>
  <c r="P69" i="103"/>
  <c r="Q69" i="103" s="1"/>
  <c r="F69" i="103"/>
  <c r="H69" i="103" s="1"/>
  <c r="P68" i="103"/>
  <c r="Q68" i="103" s="1"/>
  <c r="F68" i="103"/>
  <c r="H68" i="103" s="1"/>
  <c r="P67" i="103"/>
  <c r="Q67" i="103" s="1"/>
  <c r="F67" i="103"/>
  <c r="H67" i="103" s="1"/>
  <c r="P66" i="103"/>
  <c r="Q66" i="103" s="1"/>
  <c r="F66" i="103"/>
  <c r="H66" i="103" s="1"/>
  <c r="P65" i="103"/>
  <c r="Q65" i="103" s="1"/>
  <c r="F65" i="103"/>
  <c r="H65" i="103" s="1"/>
  <c r="P64" i="103"/>
  <c r="Q64" i="103" s="1"/>
  <c r="F64" i="103"/>
  <c r="H64" i="103" s="1"/>
  <c r="P63" i="103"/>
  <c r="Q63" i="103" s="1"/>
  <c r="F63" i="103"/>
  <c r="H63" i="103" s="1"/>
  <c r="P62" i="103"/>
  <c r="Q62" i="103" s="1"/>
  <c r="F62" i="103"/>
  <c r="H62" i="103" s="1"/>
  <c r="P61" i="103"/>
  <c r="Q61" i="103" s="1"/>
  <c r="F61" i="103"/>
  <c r="H61" i="103" s="1"/>
  <c r="P60" i="103"/>
  <c r="Q60" i="103" s="1"/>
  <c r="F60" i="103"/>
  <c r="H60" i="103" s="1"/>
  <c r="P59" i="103"/>
  <c r="Q59" i="103" s="1"/>
  <c r="F59" i="103"/>
  <c r="H59" i="103" s="1"/>
  <c r="P58" i="103"/>
  <c r="Q58" i="103" s="1"/>
  <c r="F58" i="103"/>
  <c r="H58" i="103" s="1"/>
  <c r="P57" i="103"/>
  <c r="Q57" i="103" s="1"/>
  <c r="F57" i="103"/>
  <c r="H57" i="103" s="1"/>
  <c r="P56" i="103"/>
  <c r="Q56" i="103" s="1"/>
  <c r="F56" i="103"/>
  <c r="H56" i="103" s="1"/>
  <c r="P55" i="103"/>
  <c r="Q55" i="103" s="1"/>
  <c r="F55" i="103"/>
  <c r="H55" i="103" s="1"/>
  <c r="P54" i="103"/>
  <c r="Q54" i="103" s="1"/>
  <c r="F54" i="103"/>
  <c r="H54" i="103" s="1"/>
  <c r="P53" i="103"/>
  <c r="Q53" i="103" s="1"/>
  <c r="F53" i="103"/>
  <c r="H53" i="103" s="1"/>
  <c r="P52" i="103"/>
  <c r="Q52" i="103" s="1"/>
  <c r="F52" i="103"/>
  <c r="H52" i="103" s="1"/>
  <c r="P51" i="103"/>
  <c r="Q51" i="103" s="1"/>
  <c r="F51" i="103"/>
  <c r="H51" i="103" s="1"/>
  <c r="P50" i="103"/>
  <c r="Q50" i="103" s="1"/>
  <c r="F50" i="103"/>
  <c r="H50" i="103" s="1"/>
  <c r="P49" i="103"/>
  <c r="Q49" i="103" s="1"/>
  <c r="F49" i="103"/>
  <c r="H49" i="103" s="1"/>
  <c r="P48" i="103"/>
  <c r="Q48" i="103" s="1"/>
  <c r="F48" i="103"/>
  <c r="H48" i="103" s="1"/>
  <c r="P47" i="103"/>
  <c r="Q47" i="103" s="1"/>
  <c r="F47" i="103"/>
  <c r="H47" i="103" s="1"/>
  <c r="P46" i="103"/>
  <c r="Q46" i="103" s="1"/>
  <c r="F46" i="103"/>
  <c r="H46" i="103" s="1"/>
  <c r="P45" i="103"/>
  <c r="Q45" i="103" s="1"/>
  <c r="F45" i="103"/>
  <c r="H45" i="103" s="1"/>
  <c r="P44" i="103"/>
  <c r="Q44" i="103" s="1"/>
  <c r="F44" i="103"/>
  <c r="H44" i="103" s="1"/>
  <c r="P43" i="103"/>
  <c r="Q43" i="103" s="1"/>
  <c r="P42" i="103"/>
  <c r="Q42" i="103" s="1"/>
  <c r="P41" i="103"/>
  <c r="Q41" i="103" s="1"/>
  <c r="P40" i="103"/>
  <c r="Q40" i="103" s="1"/>
  <c r="P39" i="103"/>
  <c r="Q39" i="103" s="1"/>
  <c r="F39" i="103"/>
  <c r="P38" i="103"/>
  <c r="Q38" i="103" s="1"/>
  <c r="P37" i="103"/>
  <c r="Q37" i="103" s="1"/>
  <c r="P36" i="103"/>
  <c r="Q36" i="103" s="1"/>
  <c r="P35" i="103"/>
  <c r="Q35" i="103" s="1"/>
  <c r="P34" i="103"/>
  <c r="Q34" i="103" s="1"/>
  <c r="P33" i="103"/>
  <c r="Q33" i="103" s="1"/>
  <c r="P32" i="103"/>
  <c r="Q32" i="103" s="1"/>
  <c r="P31" i="103"/>
  <c r="Q31" i="103" s="1"/>
  <c r="E25" i="103"/>
  <c r="F4" i="103"/>
  <c r="B3" i="103" a="1"/>
  <c r="B3" i="103" s="1"/>
  <c r="P91" i="102"/>
  <c r="Q91" i="102" s="1"/>
  <c r="H91" i="102"/>
  <c r="F91" i="102"/>
  <c r="P90" i="102"/>
  <c r="Q90" i="102" s="1"/>
  <c r="H90" i="102"/>
  <c r="F90" i="102"/>
  <c r="P89" i="102"/>
  <c r="Q89" i="102" s="1"/>
  <c r="H89" i="102"/>
  <c r="F89" i="102"/>
  <c r="P88" i="102"/>
  <c r="Q88" i="102" s="1"/>
  <c r="H88" i="102"/>
  <c r="F88" i="102"/>
  <c r="P87" i="102"/>
  <c r="Q87" i="102" s="1"/>
  <c r="H87" i="102"/>
  <c r="F87" i="102"/>
  <c r="P86" i="102"/>
  <c r="Q86" i="102" s="1"/>
  <c r="H86" i="102"/>
  <c r="F86" i="102"/>
  <c r="P85" i="102"/>
  <c r="Q85" i="102" s="1"/>
  <c r="H85" i="102"/>
  <c r="F85" i="102"/>
  <c r="P84" i="102"/>
  <c r="Q84" i="102" s="1"/>
  <c r="H84" i="102"/>
  <c r="F84" i="102"/>
  <c r="P83" i="102"/>
  <c r="Q83" i="102" s="1"/>
  <c r="H83" i="102"/>
  <c r="F83" i="102"/>
  <c r="P82" i="102"/>
  <c r="Q82" i="102" s="1"/>
  <c r="H82" i="102"/>
  <c r="F82" i="102"/>
  <c r="P81" i="102"/>
  <c r="Q81" i="102" s="1"/>
  <c r="H81" i="102"/>
  <c r="F81" i="102"/>
  <c r="P80" i="102"/>
  <c r="Q80" i="102" s="1"/>
  <c r="H80" i="102"/>
  <c r="F80" i="102"/>
  <c r="P79" i="102"/>
  <c r="Q79" i="102" s="1"/>
  <c r="H79" i="102"/>
  <c r="F79" i="102"/>
  <c r="P78" i="102"/>
  <c r="Q78" i="102" s="1"/>
  <c r="H78" i="102"/>
  <c r="F78" i="102"/>
  <c r="P77" i="102"/>
  <c r="Q77" i="102" s="1"/>
  <c r="H77" i="102"/>
  <c r="F77" i="102"/>
  <c r="P76" i="102"/>
  <c r="Q76" i="102" s="1"/>
  <c r="H76" i="102"/>
  <c r="F76" i="102"/>
  <c r="P75" i="102"/>
  <c r="Q75" i="102" s="1"/>
  <c r="H75" i="102"/>
  <c r="F75" i="102"/>
  <c r="P74" i="102"/>
  <c r="Q74" i="102" s="1"/>
  <c r="H74" i="102"/>
  <c r="F74" i="102"/>
  <c r="P73" i="102"/>
  <c r="Q73" i="102" s="1"/>
  <c r="H73" i="102"/>
  <c r="F73" i="102"/>
  <c r="P72" i="102"/>
  <c r="Q72" i="102" s="1"/>
  <c r="H72" i="102"/>
  <c r="F72" i="102"/>
  <c r="P71" i="102"/>
  <c r="Q71" i="102" s="1"/>
  <c r="H71" i="102"/>
  <c r="F71" i="102"/>
  <c r="Q70" i="102"/>
  <c r="P70" i="102"/>
  <c r="H70" i="102"/>
  <c r="F70" i="102"/>
  <c r="Q69" i="102"/>
  <c r="P69" i="102"/>
  <c r="H69" i="102"/>
  <c r="F69" i="102"/>
  <c r="Q68" i="102"/>
  <c r="P68" i="102"/>
  <c r="H68" i="102"/>
  <c r="F68" i="102"/>
  <c r="Q67" i="102"/>
  <c r="P67" i="102"/>
  <c r="H67" i="102"/>
  <c r="F67" i="102"/>
  <c r="Q66" i="102"/>
  <c r="P66" i="102"/>
  <c r="H66" i="102"/>
  <c r="F66" i="102"/>
  <c r="Q65" i="102"/>
  <c r="P65" i="102"/>
  <c r="H65" i="102"/>
  <c r="F65" i="102"/>
  <c r="Q64" i="102"/>
  <c r="P64" i="102"/>
  <c r="H64" i="102"/>
  <c r="F64" i="102"/>
  <c r="Q63" i="102"/>
  <c r="P63" i="102"/>
  <c r="H63" i="102"/>
  <c r="F63" i="102"/>
  <c r="Q62" i="102"/>
  <c r="P62" i="102"/>
  <c r="H62" i="102"/>
  <c r="F62" i="102"/>
  <c r="Q61" i="102"/>
  <c r="P61" i="102"/>
  <c r="H61" i="102"/>
  <c r="F61" i="102"/>
  <c r="Q60" i="102"/>
  <c r="P60" i="102"/>
  <c r="H60" i="102"/>
  <c r="F60" i="102"/>
  <c r="Q59" i="102"/>
  <c r="P59" i="102"/>
  <c r="H59" i="102"/>
  <c r="F59" i="102"/>
  <c r="Q58" i="102"/>
  <c r="P58" i="102"/>
  <c r="H58" i="102"/>
  <c r="F58" i="102"/>
  <c r="Q57" i="102"/>
  <c r="P57" i="102"/>
  <c r="H57" i="102"/>
  <c r="F57" i="102"/>
  <c r="Q56" i="102"/>
  <c r="P56" i="102"/>
  <c r="H56" i="102"/>
  <c r="F56" i="102"/>
  <c r="Q55" i="102"/>
  <c r="P55" i="102"/>
  <c r="H55" i="102"/>
  <c r="F55" i="102"/>
  <c r="Q54" i="102"/>
  <c r="P54" i="102"/>
  <c r="H54" i="102"/>
  <c r="F54" i="102"/>
  <c r="Q53" i="102"/>
  <c r="P53" i="102"/>
  <c r="H53" i="102"/>
  <c r="F53" i="102"/>
  <c r="Q52" i="102"/>
  <c r="P52" i="102"/>
  <c r="H52" i="102"/>
  <c r="F52" i="102"/>
  <c r="Q51" i="102"/>
  <c r="P51" i="102"/>
  <c r="H51" i="102"/>
  <c r="F51" i="102"/>
  <c r="Q50" i="102"/>
  <c r="P50" i="102"/>
  <c r="H50" i="102"/>
  <c r="F50" i="102"/>
  <c r="Q49" i="102"/>
  <c r="P49" i="102"/>
  <c r="H49" i="102"/>
  <c r="F49" i="102"/>
  <c r="Q48" i="102"/>
  <c r="P48" i="102"/>
  <c r="H48" i="102"/>
  <c r="F48" i="102"/>
  <c r="Q47" i="102"/>
  <c r="P47" i="102"/>
  <c r="H47" i="102"/>
  <c r="F47" i="102"/>
  <c r="Q46" i="102"/>
  <c r="P46" i="102"/>
  <c r="H46" i="102"/>
  <c r="F46" i="102"/>
  <c r="Q45" i="102"/>
  <c r="P45" i="102"/>
  <c r="H45" i="102"/>
  <c r="F45" i="102"/>
  <c r="Q44" i="102"/>
  <c r="P44" i="102"/>
  <c r="H44" i="102"/>
  <c r="F44" i="102"/>
  <c r="Q43" i="102"/>
  <c r="P43" i="102"/>
  <c r="Q42" i="102"/>
  <c r="P42" i="102"/>
  <c r="Q41" i="102"/>
  <c r="P41" i="102"/>
  <c r="P40" i="102"/>
  <c r="Q40" i="102" s="1"/>
  <c r="Q39" i="102"/>
  <c r="P39" i="102"/>
  <c r="F39" i="102"/>
  <c r="Q38" i="102"/>
  <c r="P38" i="102"/>
  <c r="Q37" i="102"/>
  <c r="P37" i="102"/>
  <c r="Q36" i="102"/>
  <c r="P36" i="102"/>
  <c r="E25" i="102"/>
  <c r="F4" i="102"/>
  <c r="B3" i="102" a="1"/>
  <c r="B3" i="102" s="1"/>
  <c r="P91" i="101"/>
  <c r="Q91" i="101" s="1"/>
  <c r="H91" i="101"/>
  <c r="F91" i="101"/>
  <c r="P90" i="101"/>
  <c r="Q90" i="101" s="1"/>
  <c r="H90" i="101"/>
  <c r="F90" i="101"/>
  <c r="P89" i="101"/>
  <c r="Q89" i="101" s="1"/>
  <c r="F89" i="101"/>
  <c r="H89" i="101" s="1"/>
  <c r="P88" i="101"/>
  <c r="Q88" i="101" s="1"/>
  <c r="F88" i="101"/>
  <c r="H88" i="101" s="1"/>
  <c r="P87" i="101"/>
  <c r="Q87" i="101" s="1"/>
  <c r="H87" i="101"/>
  <c r="F87" i="101"/>
  <c r="P86" i="101"/>
  <c r="Q86" i="101" s="1"/>
  <c r="H86" i="101"/>
  <c r="F86" i="101"/>
  <c r="P85" i="101"/>
  <c r="Q85" i="101" s="1"/>
  <c r="F85" i="101"/>
  <c r="H85" i="101" s="1"/>
  <c r="P84" i="101"/>
  <c r="Q84" i="101" s="1"/>
  <c r="F84" i="101"/>
  <c r="H84" i="101" s="1"/>
  <c r="P83" i="101"/>
  <c r="Q83" i="101" s="1"/>
  <c r="H83" i="101"/>
  <c r="F83" i="101"/>
  <c r="P82" i="101"/>
  <c r="Q82" i="101" s="1"/>
  <c r="H82" i="101"/>
  <c r="F82" i="101"/>
  <c r="P81" i="101"/>
  <c r="Q81" i="101" s="1"/>
  <c r="F81" i="101"/>
  <c r="H81" i="101" s="1"/>
  <c r="P80" i="101"/>
  <c r="Q80" i="101" s="1"/>
  <c r="F80" i="101"/>
  <c r="H80" i="101" s="1"/>
  <c r="Q79" i="101"/>
  <c r="P79" i="101"/>
  <c r="F79" i="101"/>
  <c r="H79" i="101" s="1"/>
  <c r="Q78" i="101"/>
  <c r="P78" i="101"/>
  <c r="F78" i="101"/>
  <c r="H78" i="101" s="1"/>
  <c r="Q77" i="101"/>
  <c r="P77" i="101"/>
  <c r="F77" i="101"/>
  <c r="H77" i="101" s="1"/>
  <c r="Q76" i="101"/>
  <c r="P76" i="101"/>
  <c r="F76" i="101"/>
  <c r="H76" i="101" s="1"/>
  <c r="Q75" i="101"/>
  <c r="P75" i="101"/>
  <c r="F75" i="101"/>
  <c r="H75" i="101" s="1"/>
  <c r="Q74" i="101"/>
  <c r="P74" i="101"/>
  <c r="F74" i="101"/>
  <c r="H74" i="101" s="1"/>
  <c r="Q73" i="101"/>
  <c r="P73" i="101"/>
  <c r="F73" i="101"/>
  <c r="H73" i="101" s="1"/>
  <c r="Q72" i="101"/>
  <c r="P72" i="101"/>
  <c r="F72" i="101"/>
  <c r="H72" i="101" s="1"/>
  <c r="Q71" i="101"/>
  <c r="P71" i="101"/>
  <c r="F71" i="101"/>
  <c r="H71" i="101" s="1"/>
  <c r="Q70" i="101"/>
  <c r="P70" i="101"/>
  <c r="F70" i="101"/>
  <c r="H70" i="101" s="1"/>
  <c r="Q69" i="101"/>
  <c r="P69" i="101"/>
  <c r="F69" i="101"/>
  <c r="H69" i="101" s="1"/>
  <c r="Q68" i="101"/>
  <c r="P68" i="101"/>
  <c r="F68" i="101"/>
  <c r="H68" i="101" s="1"/>
  <c r="Q67" i="101"/>
  <c r="P67" i="101"/>
  <c r="F67" i="101"/>
  <c r="H67" i="101" s="1"/>
  <c r="Q66" i="101"/>
  <c r="P66" i="101"/>
  <c r="F66" i="101"/>
  <c r="H66" i="101" s="1"/>
  <c r="Q65" i="101"/>
  <c r="P65" i="101"/>
  <c r="F65" i="101"/>
  <c r="H65" i="101" s="1"/>
  <c r="Q64" i="101"/>
  <c r="P64" i="101"/>
  <c r="F64" i="101"/>
  <c r="H64" i="101" s="1"/>
  <c r="Q63" i="101"/>
  <c r="P63" i="101"/>
  <c r="F63" i="101"/>
  <c r="H63" i="101" s="1"/>
  <c r="Q62" i="101"/>
  <c r="P62" i="101"/>
  <c r="F62" i="101"/>
  <c r="H62" i="101" s="1"/>
  <c r="Q61" i="101"/>
  <c r="P61" i="101"/>
  <c r="F61" i="101"/>
  <c r="H61" i="101" s="1"/>
  <c r="Q60" i="101"/>
  <c r="P60" i="101"/>
  <c r="F60" i="101"/>
  <c r="H60" i="101" s="1"/>
  <c r="Q59" i="101"/>
  <c r="P59" i="101"/>
  <c r="F59" i="101"/>
  <c r="H59" i="101" s="1"/>
  <c r="Q58" i="101"/>
  <c r="P58" i="101"/>
  <c r="F58" i="101"/>
  <c r="H58" i="101" s="1"/>
  <c r="Q57" i="101"/>
  <c r="P57" i="101"/>
  <c r="F57" i="101"/>
  <c r="H57" i="101" s="1"/>
  <c r="Q56" i="101"/>
  <c r="P56" i="101"/>
  <c r="F56" i="101"/>
  <c r="H56" i="101" s="1"/>
  <c r="Q55" i="101"/>
  <c r="P55" i="101"/>
  <c r="F55" i="101"/>
  <c r="H55" i="101" s="1"/>
  <c r="Q54" i="101"/>
  <c r="P54" i="101"/>
  <c r="F54" i="101"/>
  <c r="H54" i="101" s="1"/>
  <c r="Q53" i="101"/>
  <c r="P53" i="101"/>
  <c r="F53" i="101"/>
  <c r="H53" i="101" s="1"/>
  <c r="Q52" i="101"/>
  <c r="P52" i="101"/>
  <c r="F52" i="101"/>
  <c r="H52" i="101" s="1"/>
  <c r="Q51" i="101"/>
  <c r="P51" i="101"/>
  <c r="F51" i="101"/>
  <c r="H51" i="101" s="1"/>
  <c r="Q50" i="101"/>
  <c r="P50" i="101"/>
  <c r="F50" i="101"/>
  <c r="H50" i="101" s="1"/>
  <c r="Q49" i="101"/>
  <c r="P49" i="101"/>
  <c r="F49" i="101"/>
  <c r="H49" i="101" s="1"/>
  <c r="Q48" i="101"/>
  <c r="P48" i="101"/>
  <c r="F48" i="101"/>
  <c r="H48" i="101" s="1"/>
  <c r="Q47" i="101"/>
  <c r="P47" i="101"/>
  <c r="F47" i="101"/>
  <c r="H47" i="101" s="1"/>
  <c r="Q46" i="101"/>
  <c r="P46" i="101"/>
  <c r="F46" i="101"/>
  <c r="H46" i="101" s="1"/>
  <c r="Q45" i="101"/>
  <c r="P45" i="101"/>
  <c r="F45" i="101"/>
  <c r="H45" i="101" s="1"/>
  <c r="Q44" i="101"/>
  <c r="P44" i="101"/>
  <c r="F44" i="101"/>
  <c r="H44" i="101" s="1"/>
  <c r="Q43" i="101"/>
  <c r="P43" i="101"/>
  <c r="F43" i="101"/>
  <c r="H43" i="101" s="1"/>
  <c r="Q42" i="101"/>
  <c r="P42" i="101"/>
  <c r="F42" i="101"/>
  <c r="H42" i="101" s="1"/>
  <c r="Q41" i="101"/>
  <c r="P41" i="101"/>
  <c r="P40" i="101"/>
  <c r="Q40" i="101" s="1"/>
  <c r="P39" i="101"/>
  <c r="Q39" i="101" s="1"/>
  <c r="F39" i="101"/>
  <c r="F92" i="101" s="1"/>
  <c r="Q38" i="101"/>
  <c r="P38" i="101"/>
  <c r="P37" i="101"/>
  <c r="Q37" i="101" s="1"/>
  <c r="Q36" i="101"/>
  <c r="P36" i="101"/>
  <c r="P35" i="101"/>
  <c r="Q35" i="101" s="1"/>
  <c r="Q34" i="101"/>
  <c r="P34" i="101"/>
  <c r="P33" i="101"/>
  <c r="Q33" i="101" s="1"/>
  <c r="Q32" i="101"/>
  <c r="P32" i="101"/>
  <c r="P31" i="101"/>
  <c r="Q31" i="101" s="1"/>
  <c r="F4" i="101"/>
  <c r="B3" i="101" a="1"/>
  <c r="B3" i="101" s="1"/>
  <c r="Q91" i="100"/>
  <c r="P91" i="100"/>
  <c r="F91" i="100"/>
  <c r="H91" i="100" s="1"/>
  <c r="P90" i="100"/>
  <c r="Q90" i="100" s="1"/>
  <c r="F90" i="100"/>
  <c r="H90" i="100" s="1"/>
  <c r="P89" i="100"/>
  <c r="Q89" i="100" s="1"/>
  <c r="F89" i="100"/>
  <c r="H89" i="100" s="1"/>
  <c r="P88" i="100"/>
  <c r="Q88" i="100" s="1"/>
  <c r="F88" i="100"/>
  <c r="H88" i="100" s="1"/>
  <c r="Q87" i="100"/>
  <c r="P87" i="100"/>
  <c r="F87" i="100"/>
  <c r="H87" i="100" s="1"/>
  <c r="P86" i="100"/>
  <c r="Q86" i="100" s="1"/>
  <c r="F86" i="100"/>
  <c r="H86" i="100" s="1"/>
  <c r="P85" i="100"/>
  <c r="Q85" i="100" s="1"/>
  <c r="F85" i="100"/>
  <c r="H85" i="100" s="1"/>
  <c r="P84" i="100"/>
  <c r="Q84" i="100" s="1"/>
  <c r="F84" i="100"/>
  <c r="H84" i="100" s="1"/>
  <c r="Q83" i="100"/>
  <c r="P83" i="100"/>
  <c r="F83" i="100"/>
  <c r="H83" i="100" s="1"/>
  <c r="P82" i="100"/>
  <c r="Q82" i="100" s="1"/>
  <c r="F82" i="100"/>
  <c r="H82" i="100" s="1"/>
  <c r="P81" i="100"/>
  <c r="Q81" i="100" s="1"/>
  <c r="F81" i="100"/>
  <c r="H81" i="100" s="1"/>
  <c r="P80" i="100"/>
  <c r="Q80" i="100" s="1"/>
  <c r="F80" i="100"/>
  <c r="H80" i="100" s="1"/>
  <c r="Q79" i="100"/>
  <c r="P79" i="100"/>
  <c r="F79" i="100"/>
  <c r="H79" i="100" s="1"/>
  <c r="P78" i="100"/>
  <c r="Q78" i="100" s="1"/>
  <c r="F78" i="100"/>
  <c r="H78" i="100" s="1"/>
  <c r="P77" i="100"/>
  <c r="Q77" i="100" s="1"/>
  <c r="F77" i="100"/>
  <c r="H77" i="100" s="1"/>
  <c r="P76" i="100"/>
  <c r="Q76" i="100" s="1"/>
  <c r="F76" i="100"/>
  <c r="H76" i="100" s="1"/>
  <c r="Q75" i="100"/>
  <c r="P75" i="100"/>
  <c r="F75" i="100"/>
  <c r="H75" i="100" s="1"/>
  <c r="P74" i="100"/>
  <c r="Q74" i="100" s="1"/>
  <c r="F74" i="100"/>
  <c r="H74" i="100" s="1"/>
  <c r="P73" i="100"/>
  <c r="Q73" i="100" s="1"/>
  <c r="F73" i="100"/>
  <c r="H73" i="100" s="1"/>
  <c r="P72" i="100"/>
  <c r="Q72" i="100" s="1"/>
  <c r="F72" i="100"/>
  <c r="H72" i="100" s="1"/>
  <c r="Q71" i="100"/>
  <c r="P71" i="100"/>
  <c r="F71" i="100"/>
  <c r="H71" i="100" s="1"/>
  <c r="P70" i="100"/>
  <c r="Q70" i="100" s="1"/>
  <c r="F70" i="100"/>
  <c r="H70" i="100" s="1"/>
  <c r="P69" i="100"/>
  <c r="Q69" i="100" s="1"/>
  <c r="F69" i="100"/>
  <c r="H69" i="100" s="1"/>
  <c r="P68" i="100"/>
  <c r="Q68" i="100" s="1"/>
  <c r="F68" i="100"/>
  <c r="H68" i="100" s="1"/>
  <c r="Q67" i="100"/>
  <c r="P67" i="100"/>
  <c r="F67" i="100"/>
  <c r="H67" i="100" s="1"/>
  <c r="P66" i="100"/>
  <c r="Q66" i="100" s="1"/>
  <c r="F66" i="100"/>
  <c r="H66" i="100" s="1"/>
  <c r="P65" i="100"/>
  <c r="Q65" i="100" s="1"/>
  <c r="F65" i="100"/>
  <c r="H65" i="100" s="1"/>
  <c r="P64" i="100"/>
  <c r="Q64" i="100" s="1"/>
  <c r="F64" i="100"/>
  <c r="H64" i="100" s="1"/>
  <c r="Q63" i="100"/>
  <c r="P63" i="100"/>
  <c r="F63" i="100"/>
  <c r="H63" i="100" s="1"/>
  <c r="P62" i="100"/>
  <c r="Q62" i="100" s="1"/>
  <c r="F62" i="100"/>
  <c r="H62" i="100" s="1"/>
  <c r="P61" i="100"/>
  <c r="Q61" i="100" s="1"/>
  <c r="F61" i="100"/>
  <c r="H61" i="100" s="1"/>
  <c r="P60" i="100"/>
  <c r="Q60" i="100" s="1"/>
  <c r="F60" i="100"/>
  <c r="H60" i="100" s="1"/>
  <c r="Q59" i="100"/>
  <c r="P59" i="100"/>
  <c r="F59" i="100"/>
  <c r="H59" i="100" s="1"/>
  <c r="P58" i="100"/>
  <c r="Q58" i="100" s="1"/>
  <c r="F58" i="100"/>
  <c r="H58" i="100" s="1"/>
  <c r="P57" i="100"/>
  <c r="Q57" i="100" s="1"/>
  <c r="F57" i="100"/>
  <c r="H57" i="100" s="1"/>
  <c r="P56" i="100"/>
  <c r="Q56" i="100" s="1"/>
  <c r="F56" i="100"/>
  <c r="H56" i="100" s="1"/>
  <c r="Q55" i="100"/>
  <c r="P55" i="100"/>
  <c r="F55" i="100"/>
  <c r="H55" i="100" s="1"/>
  <c r="P54" i="100"/>
  <c r="Q54" i="100" s="1"/>
  <c r="F54" i="100"/>
  <c r="H54" i="100" s="1"/>
  <c r="P53" i="100"/>
  <c r="Q53" i="100" s="1"/>
  <c r="F53" i="100"/>
  <c r="H53" i="100" s="1"/>
  <c r="P52" i="100"/>
  <c r="Q52" i="100" s="1"/>
  <c r="F52" i="100"/>
  <c r="H52" i="100" s="1"/>
  <c r="Q51" i="100"/>
  <c r="P51" i="100"/>
  <c r="F51" i="100"/>
  <c r="H51" i="100" s="1"/>
  <c r="P50" i="100"/>
  <c r="Q50" i="100" s="1"/>
  <c r="F50" i="100"/>
  <c r="H50" i="100" s="1"/>
  <c r="P49" i="100"/>
  <c r="Q49" i="100" s="1"/>
  <c r="F49" i="100"/>
  <c r="H49" i="100" s="1"/>
  <c r="P48" i="100"/>
  <c r="Q48" i="100" s="1"/>
  <c r="F48" i="100"/>
  <c r="H48" i="100" s="1"/>
  <c r="Q47" i="100"/>
  <c r="P47" i="100"/>
  <c r="F47" i="100"/>
  <c r="H47" i="100" s="1"/>
  <c r="P46" i="100"/>
  <c r="Q46" i="100" s="1"/>
  <c r="F46" i="100"/>
  <c r="H46" i="100" s="1"/>
  <c r="P45" i="100"/>
  <c r="Q45" i="100" s="1"/>
  <c r="F45" i="100"/>
  <c r="H45" i="100" s="1"/>
  <c r="P44" i="100"/>
  <c r="Q44" i="100" s="1"/>
  <c r="F44" i="100"/>
  <c r="H44" i="100" s="1"/>
  <c r="Q43" i="100"/>
  <c r="P43" i="100"/>
  <c r="F43" i="100"/>
  <c r="H43" i="100" s="1"/>
  <c r="P42" i="100"/>
  <c r="Q42" i="100" s="1"/>
  <c r="P41" i="100"/>
  <c r="Q41" i="100" s="1"/>
  <c r="P40" i="100"/>
  <c r="Q40" i="100" s="1"/>
  <c r="P39" i="100"/>
  <c r="Q39" i="100" s="1"/>
  <c r="F39" i="100"/>
  <c r="P38" i="100"/>
  <c r="Q38" i="100" s="1"/>
  <c r="P37" i="100"/>
  <c r="Q37" i="100" s="1"/>
  <c r="P36" i="100"/>
  <c r="Q36" i="100" s="1"/>
  <c r="P35" i="100"/>
  <c r="Q35" i="100" s="1"/>
  <c r="Q34" i="100"/>
  <c r="P34" i="100"/>
  <c r="E25" i="100"/>
  <c r="F4" i="100"/>
  <c r="B3" i="100" a="1"/>
  <c r="B3" i="100" s="1"/>
  <c r="F92" i="99"/>
  <c r="P91" i="99"/>
  <c r="Q91" i="99" s="1"/>
  <c r="H91" i="99"/>
  <c r="F91" i="99"/>
  <c r="P90" i="99"/>
  <c r="Q90" i="99" s="1"/>
  <c r="H90" i="99"/>
  <c r="F90" i="99"/>
  <c r="P89" i="99"/>
  <c r="Q89" i="99" s="1"/>
  <c r="H89" i="99"/>
  <c r="F89" i="99"/>
  <c r="P88" i="99"/>
  <c r="Q88" i="99" s="1"/>
  <c r="H88" i="99"/>
  <c r="F88" i="99"/>
  <c r="P87" i="99"/>
  <c r="Q87" i="99" s="1"/>
  <c r="H87" i="99"/>
  <c r="F87" i="99"/>
  <c r="P86" i="99"/>
  <c r="Q86" i="99" s="1"/>
  <c r="H86" i="99"/>
  <c r="F86" i="99"/>
  <c r="P85" i="99"/>
  <c r="Q85" i="99" s="1"/>
  <c r="H85" i="99"/>
  <c r="F85" i="99"/>
  <c r="P84" i="99"/>
  <c r="Q84" i="99" s="1"/>
  <c r="H84" i="99"/>
  <c r="F84" i="99"/>
  <c r="P83" i="99"/>
  <c r="Q83" i="99" s="1"/>
  <c r="H83" i="99"/>
  <c r="F83" i="99"/>
  <c r="P82" i="99"/>
  <c r="Q82" i="99" s="1"/>
  <c r="H82" i="99"/>
  <c r="F82" i="99"/>
  <c r="P81" i="99"/>
  <c r="Q81" i="99" s="1"/>
  <c r="H81" i="99"/>
  <c r="F81" i="99"/>
  <c r="P80" i="99"/>
  <c r="Q80" i="99" s="1"/>
  <c r="H80" i="99"/>
  <c r="F80" i="99"/>
  <c r="P79" i="99"/>
  <c r="Q79" i="99" s="1"/>
  <c r="H79" i="99"/>
  <c r="F79" i="99"/>
  <c r="P78" i="99"/>
  <c r="Q78" i="99" s="1"/>
  <c r="H78" i="99"/>
  <c r="F78" i="99"/>
  <c r="P77" i="99"/>
  <c r="Q77" i="99" s="1"/>
  <c r="H77" i="99"/>
  <c r="F77" i="99"/>
  <c r="P76" i="99"/>
  <c r="Q76" i="99" s="1"/>
  <c r="H76" i="99"/>
  <c r="F76" i="99"/>
  <c r="P75" i="99"/>
  <c r="Q75" i="99" s="1"/>
  <c r="H75" i="99"/>
  <c r="F75" i="99"/>
  <c r="P74" i="99"/>
  <c r="Q74" i="99" s="1"/>
  <c r="H74" i="99"/>
  <c r="F74" i="99"/>
  <c r="P73" i="99"/>
  <c r="Q73" i="99" s="1"/>
  <c r="H73" i="99"/>
  <c r="F73" i="99"/>
  <c r="P72" i="99"/>
  <c r="Q72" i="99" s="1"/>
  <c r="H72" i="99"/>
  <c r="F72" i="99"/>
  <c r="P71" i="99"/>
  <c r="Q71" i="99" s="1"/>
  <c r="H71" i="99"/>
  <c r="F71" i="99"/>
  <c r="P70" i="99"/>
  <c r="Q70" i="99" s="1"/>
  <c r="H70" i="99"/>
  <c r="F70" i="99"/>
  <c r="P69" i="99"/>
  <c r="Q69" i="99" s="1"/>
  <c r="H69" i="99"/>
  <c r="F69" i="99"/>
  <c r="P68" i="99"/>
  <c r="Q68" i="99" s="1"/>
  <c r="H68" i="99"/>
  <c r="F68" i="99"/>
  <c r="P67" i="99"/>
  <c r="Q67" i="99" s="1"/>
  <c r="H67" i="99"/>
  <c r="F67" i="99"/>
  <c r="P66" i="99"/>
  <c r="Q66" i="99" s="1"/>
  <c r="H66" i="99"/>
  <c r="F66" i="99"/>
  <c r="P65" i="99"/>
  <c r="Q65" i="99" s="1"/>
  <c r="H65" i="99"/>
  <c r="F65" i="99"/>
  <c r="P64" i="99"/>
  <c r="Q64" i="99" s="1"/>
  <c r="H64" i="99"/>
  <c r="F64" i="99"/>
  <c r="P63" i="99"/>
  <c r="Q63" i="99" s="1"/>
  <c r="H63" i="99"/>
  <c r="F63" i="99"/>
  <c r="P62" i="99"/>
  <c r="Q62" i="99" s="1"/>
  <c r="H62" i="99"/>
  <c r="F62" i="99"/>
  <c r="P61" i="99"/>
  <c r="Q61" i="99" s="1"/>
  <c r="H61" i="99"/>
  <c r="F61" i="99"/>
  <c r="P60" i="99"/>
  <c r="Q60" i="99" s="1"/>
  <c r="H60" i="99"/>
  <c r="F60" i="99"/>
  <c r="P59" i="99"/>
  <c r="Q59" i="99" s="1"/>
  <c r="H59" i="99"/>
  <c r="F59" i="99"/>
  <c r="P58" i="99"/>
  <c r="Q58" i="99" s="1"/>
  <c r="H58" i="99"/>
  <c r="F58" i="99"/>
  <c r="P57" i="99"/>
  <c r="Q57" i="99" s="1"/>
  <c r="H57" i="99"/>
  <c r="F57" i="99"/>
  <c r="P56" i="99"/>
  <c r="Q56" i="99" s="1"/>
  <c r="H56" i="99"/>
  <c r="F56" i="99"/>
  <c r="P55" i="99"/>
  <c r="Q55" i="99" s="1"/>
  <c r="H55" i="99"/>
  <c r="F55" i="99"/>
  <c r="P54" i="99"/>
  <c r="Q54" i="99" s="1"/>
  <c r="H54" i="99"/>
  <c r="F54" i="99"/>
  <c r="P53" i="99"/>
  <c r="Q53" i="99" s="1"/>
  <c r="H53" i="99"/>
  <c r="F53" i="99"/>
  <c r="P52" i="99"/>
  <c r="Q52" i="99" s="1"/>
  <c r="H52" i="99"/>
  <c r="F52" i="99"/>
  <c r="P51" i="99"/>
  <c r="Q51" i="99" s="1"/>
  <c r="H51" i="99"/>
  <c r="F51" i="99"/>
  <c r="P50" i="99"/>
  <c r="Q50" i="99" s="1"/>
  <c r="H50" i="99"/>
  <c r="F50" i="99"/>
  <c r="P49" i="99"/>
  <c r="Q49" i="99" s="1"/>
  <c r="H49" i="99"/>
  <c r="F49" i="99"/>
  <c r="P48" i="99"/>
  <c r="Q48" i="99" s="1"/>
  <c r="H48" i="99"/>
  <c r="F48" i="99"/>
  <c r="P47" i="99"/>
  <c r="Q47" i="99" s="1"/>
  <c r="H47" i="99"/>
  <c r="F47" i="99"/>
  <c r="P46" i="99"/>
  <c r="Q46" i="99" s="1"/>
  <c r="H46" i="99"/>
  <c r="F46" i="99"/>
  <c r="P45" i="99"/>
  <c r="Q45" i="99" s="1"/>
  <c r="H45" i="99"/>
  <c r="F45" i="99"/>
  <c r="P44" i="99"/>
  <c r="Q44" i="99" s="1"/>
  <c r="H44" i="99"/>
  <c r="F44" i="99"/>
  <c r="P43" i="99"/>
  <c r="Q43" i="99" s="1"/>
  <c r="H43" i="99"/>
  <c r="F43" i="99"/>
  <c r="P42" i="99"/>
  <c r="Q42" i="99" s="1"/>
  <c r="H42" i="99"/>
  <c r="F42" i="99"/>
  <c r="P41" i="99"/>
  <c r="Q41" i="99" s="1"/>
  <c r="P40" i="99"/>
  <c r="Q40" i="99" s="1"/>
  <c r="Q39" i="99"/>
  <c r="P39" i="99"/>
  <c r="F39" i="99"/>
  <c r="P38" i="99"/>
  <c r="Q38" i="99" s="1"/>
  <c r="Q37" i="99"/>
  <c r="P37" i="99"/>
  <c r="P36" i="99"/>
  <c r="Q36" i="99" s="1"/>
  <c r="Q35" i="99"/>
  <c r="P35" i="99"/>
  <c r="P34" i="99"/>
  <c r="Q34" i="99" s="1"/>
  <c r="Q33" i="99"/>
  <c r="P33" i="99"/>
  <c r="E25" i="99"/>
  <c r="F4" i="99"/>
  <c r="B3" i="99" a="1"/>
  <c r="B3" i="99" s="1"/>
  <c r="P91" i="98"/>
  <c r="Q91" i="98" s="1"/>
  <c r="H91" i="98"/>
  <c r="F91" i="98"/>
  <c r="P90" i="98"/>
  <c r="Q90" i="98" s="1"/>
  <c r="F90" i="98"/>
  <c r="H90" i="98" s="1"/>
  <c r="P89" i="98"/>
  <c r="Q89" i="98" s="1"/>
  <c r="F89" i="98"/>
  <c r="H89" i="98" s="1"/>
  <c r="P88" i="98"/>
  <c r="Q88" i="98" s="1"/>
  <c r="H88" i="98"/>
  <c r="F88" i="98"/>
  <c r="P87" i="98"/>
  <c r="Q87" i="98" s="1"/>
  <c r="F87" i="98"/>
  <c r="H87" i="98" s="1"/>
  <c r="P86" i="98"/>
  <c r="Q86" i="98" s="1"/>
  <c r="F86" i="98"/>
  <c r="H86" i="98" s="1"/>
  <c r="P85" i="98"/>
  <c r="Q85" i="98" s="1"/>
  <c r="F85" i="98"/>
  <c r="H85" i="98" s="1"/>
  <c r="P84" i="98"/>
  <c r="Q84" i="98" s="1"/>
  <c r="H84" i="98"/>
  <c r="F84" i="98"/>
  <c r="P83" i="98"/>
  <c r="Q83" i="98" s="1"/>
  <c r="F83" i="98"/>
  <c r="H83" i="98" s="1"/>
  <c r="P82" i="98"/>
  <c r="Q82" i="98" s="1"/>
  <c r="F82" i="98"/>
  <c r="H82" i="98" s="1"/>
  <c r="P81" i="98"/>
  <c r="Q81" i="98" s="1"/>
  <c r="F81" i="98"/>
  <c r="H81" i="98" s="1"/>
  <c r="P80" i="98"/>
  <c r="Q80" i="98" s="1"/>
  <c r="H80" i="98"/>
  <c r="F80" i="98"/>
  <c r="Q79" i="98"/>
  <c r="P79" i="98"/>
  <c r="H79" i="98"/>
  <c r="F79" i="98"/>
  <c r="Q78" i="98"/>
  <c r="P78" i="98"/>
  <c r="H78" i="98"/>
  <c r="F78" i="98"/>
  <c r="Q77" i="98"/>
  <c r="P77" i="98"/>
  <c r="H77" i="98"/>
  <c r="F77" i="98"/>
  <c r="Q76" i="98"/>
  <c r="P76" i="98"/>
  <c r="H76" i="98"/>
  <c r="F76" i="98"/>
  <c r="Q75" i="98"/>
  <c r="P75" i="98"/>
  <c r="H75" i="98"/>
  <c r="F75" i="98"/>
  <c r="Q74" i="98"/>
  <c r="P74" i="98"/>
  <c r="H74" i="98"/>
  <c r="F74" i="98"/>
  <c r="Q73" i="98"/>
  <c r="P73" i="98"/>
  <c r="H73" i="98"/>
  <c r="F73" i="98"/>
  <c r="Q72" i="98"/>
  <c r="P72" i="98"/>
  <c r="H72" i="98"/>
  <c r="F72" i="98"/>
  <c r="Q71" i="98"/>
  <c r="P71" i="98"/>
  <c r="H71" i="98"/>
  <c r="F71" i="98"/>
  <c r="Q70" i="98"/>
  <c r="P70" i="98"/>
  <c r="H70" i="98"/>
  <c r="F70" i="98"/>
  <c r="Q69" i="98"/>
  <c r="P69" i="98"/>
  <c r="H69" i="98"/>
  <c r="F69" i="98"/>
  <c r="Q68" i="98"/>
  <c r="P68" i="98"/>
  <c r="H68" i="98"/>
  <c r="F68" i="98"/>
  <c r="Q67" i="98"/>
  <c r="P67" i="98"/>
  <c r="H67" i="98"/>
  <c r="F67" i="98"/>
  <c r="Q66" i="98"/>
  <c r="P66" i="98"/>
  <c r="H66" i="98"/>
  <c r="F66" i="98"/>
  <c r="Q65" i="98"/>
  <c r="P65" i="98"/>
  <c r="H65" i="98"/>
  <c r="F65" i="98"/>
  <c r="Q64" i="98"/>
  <c r="P64" i="98"/>
  <c r="H64" i="98"/>
  <c r="F64" i="98"/>
  <c r="Q63" i="98"/>
  <c r="P63" i="98"/>
  <c r="H63" i="98"/>
  <c r="F63" i="98"/>
  <c r="Q62" i="98"/>
  <c r="P62" i="98"/>
  <c r="H62" i="98"/>
  <c r="F62" i="98"/>
  <c r="Q61" i="98"/>
  <c r="P61" i="98"/>
  <c r="H61" i="98"/>
  <c r="F61" i="98"/>
  <c r="Q60" i="98"/>
  <c r="P60" i="98"/>
  <c r="H60" i="98"/>
  <c r="F60" i="98"/>
  <c r="Q59" i="98"/>
  <c r="P59" i="98"/>
  <c r="H59" i="98"/>
  <c r="F59" i="98"/>
  <c r="Q58" i="98"/>
  <c r="P58" i="98"/>
  <c r="H58" i="98"/>
  <c r="F58" i="98"/>
  <c r="Q57" i="98"/>
  <c r="P57" i="98"/>
  <c r="H57" i="98"/>
  <c r="F57" i="98"/>
  <c r="Q56" i="98"/>
  <c r="P56" i="98"/>
  <c r="H56" i="98"/>
  <c r="F56" i="98"/>
  <c r="Q55" i="98"/>
  <c r="P55" i="98"/>
  <c r="H55" i="98"/>
  <c r="F55" i="98"/>
  <c r="Q54" i="98"/>
  <c r="P54" i="98"/>
  <c r="H54" i="98"/>
  <c r="F54" i="98"/>
  <c r="Q53" i="98"/>
  <c r="P53" i="98"/>
  <c r="H53" i="98"/>
  <c r="F53" i="98"/>
  <c r="Q52" i="98"/>
  <c r="P52" i="98"/>
  <c r="H52" i="98"/>
  <c r="F52" i="98"/>
  <c r="Q51" i="98"/>
  <c r="P51" i="98"/>
  <c r="H51" i="98"/>
  <c r="F51" i="98"/>
  <c r="Q50" i="98"/>
  <c r="P50" i="98"/>
  <c r="H50" i="98"/>
  <c r="F50" i="98"/>
  <c r="Q49" i="98"/>
  <c r="P49" i="98"/>
  <c r="H49" i="98"/>
  <c r="F49" i="98"/>
  <c r="Q48" i="98"/>
  <c r="P48" i="98"/>
  <c r="H48" i="98"/>
  <c r="F48" i="98"/>
  <c r="Q47" i="98"/>
  <c r="P47" i="98"/>
  <c r="H47" i="98"/>
  <c r="F47" i="98"/>
  <c r="Q46" i="98"/>
  <c r="P46" i="98"/>
  <c r="H46" i="98"/>
  <c r="F46" i="98"/>
  <c r="Q45" i="98"/>
  <c r="P45" i="98"/>
  <c r="H45" i="98"/>
  <c r="F45" i="98"/>
  <c r="Q44" i="98"/>
  <c r="P44" i="98"/>
  <c r="H44" i="98"/>
  <c r="F44" i="98"/>
  <c r="Q43" i="98"/>
  <c r="P43" i="98"/>
  <c r="H43" i="98"/>
  <c r="F43" i="98"/>
  <c r="Q42" i="98"/>
  <c r="P42" i="98"/>
  <c r="H42" i="98"/>
  <c r="F42" i="98"/>
  <c r="Q41" i="98"/>
  <c r="P41" i="98"/>
  <c r="H41" i="98"/>
  <c r="P40" i="98"/>
  <c r="Q40" i="98" s="1"/>
  <c r="H40" i="98"/>
  <c r="Q39" i="98"/>
  <c r="P39" i="98"/>
  <c r="F39" i="98"/>
  <c r="F92" i="98" s="1"/>
  <c r="P38" i="98"/>
  <c r="Q38" i="98" s="1"/>
  <c r="Q37" i="98"/>
  <c r="P37" i="98"/>
  <c r="P36" i="98"/>
  <c r="Q36" i="98" s="1"/>
  <c r="Q35" i="98"/>
  <c r="P35" i="98"/>
  <c r="E25" i="98"/>
  <c r="F4" i="98"/>
  <c r="B3" i="98" a="1"/>
  <c r="B3" i="98" s="1"/>
  <c r="P91" i="97"/>
  <c r="Q91" i="97" s="1"/>
  <c r="F91" i="97"/>
  <c r="H91" i="97" s="1"/>
  <c r="P90" i="97"/>
  <c r="Q90" i="97" s="1"/>
  <c r="F90" i="97"/>
  <c r="H90" i="97" s="1"/>
  <c r="P89" i="97"/>
  <c r="Q89" i="97" s="1"/>
  <c r="F89" i="97"/>
  <c r="H89" i="97" s="1"/>
  <c r="P88" i="97"/>
  <c r="Q88" i="97" s="1"/>
  <c r="H88" i="97"/>
  <c r="F88" i="97"/>
  <c r="P87" i="97"/>
  <c r="Q87" i="97" s="1"/>
  <c r="F87" i="97"/>
  <c r="H87" i="97" s="1"/>
  <c r="P86" i="97"/>
  <c r="Q86" i="97" s="1"/>
  <c r="F86" i="97"/>
  <c r="H86" i="97" s="1"/>
  <c r="P85" i="97"/>
  <c r="Q85" i="97" s="1"/>
  <c r="F85" i="97"/>
  <c r="H85" i="97" s="1"/>
  <c r="P84" i="97"/>
  <c r="Q84" i="97" s="1"/>
  <c r="H84" i="97"/>
  <c r="F84" i="97"/>
  <c r="P83" i="97"/>
  <c r="Q83" i="97" s="1"/>
  <c r="F83" i="97"/>
  <c r="H83" i="97" s="1"/>
  <c r="P82" i="97"/>
  <c r="Q82" i="97" s="1"/>
  <c r="F82" i="97"/>
  <c r="H82" i="97" s="1"/>
  <c r="P81" i="97"/>
  <c r="Q81" i="97" s="1"/>
  <c r="F81" i="97"/>
  <c r="H81" i="97" s="1"/>
  <c r="P80" i="97"/>
  <c r="Q80" i="97" s="1"/>
  <c r="H80" i="97"/>
  <c r="F80" i="97"/>
  <c r="P79" i="97"/>
  <c r="Q79" i="97" s="1"/>
  <c r="F79" i="97"/>
  <c r="H79" i="97" s="1"/>
  <c r="P78" i="97"/>
  <c r="Q78" i="97" s="1"/>
  <c r="F78" i="97"/>
  <c r="H78" i="97" s="1"/>
  <c r="P77" i="97"/>
  <c r="Q77" i="97" s="1"/>
  <c r="F77" i="97"/>
  <c r="H77" i="97" s="1"/>
  <c r="P76" i="97"/>
  <c r="Q76" i="97" s="1"/>
  <c r="H76" i="97"/>
  <c r="F76" i="97"/>
  <c r="P75" i="97"/>
  <c r="Q75" i="97" s="1"/>
  <c r="F75" i="97"/>
  <c r="H75" i="97" s="1"/>
  <c r="P74" i="97"/>
  <c r="Q74" i="97" s="1"/>
  <c r="F74" i="97"/>
  <c r="H74" i="97" s="1"/>
  <c r="P73" i="97"/>
  <c r="Q73" i="97" s="1"/>
  <c r="F73" i="97"/>
  <c r="H73" i="97" s="1"/>
  <c r="P72" i="97"/>
  <c r="Q72" i="97" s="1"/>
  <c r="H72" i="97"/>
  <c r="F72" i="97"/>
  <c r="P71" i="97"/>
  <c r="Q71" i="97" s="1"/>
  <c r="F71" i="97"/>
  <c r="H71" i="97" s="1"/>
  <c r="P70" i="97"/>
  <c r="Q70" i="97" s="1"/>
  <c r="F70" i="97"/>
  <c r="H70" i="97" s="1"/>
  <c r="P69" i="97"/>
  <c r="Q69" i="97" s="1"/>
  <c r="F69" i="97"/>
  <c r="H69" i="97" s="1"/>
  <c r="P68" i="97"/>
  <c r="Q68" i="97" s="1"/>
  <c r="H68" i="97"/>
  <c r="F68" i="97"/>
  <c r="P67" i="97"/>
  <c r="Q67" i="97" s="1"/>
  <c r="F67" i="97"/>
  <c r="H67" i="97" s="1"/>
  <c r="P66" i="97"/>
  <c r="Q66" i="97" s="1"/>
  <c r="F66" i="97"/>
  <c r="H66" i="97" s="1"/>
  <c r="P65" i="97"/>
  <c r="Q65" i="97" s="1"/>
  <c r="F65" i="97"/>
  <c r="H65" i="97" s="1"/>
  <c r="P64" i="97"/>
  <c r="Q64" i="97" s="1"/>
  <c r="H64" i="97"/>
  <c r="F64" i="97"/>
  <c r="P63" i="97"/>
  <c r="Q63" i="97" s="1"/>
  <c r="F63" i="97"/>
  <c r="H63" i="97" s="1"/>
  <c r="P62" i="97"/>
  <c r="Q62" i="97" s="1"/>
  <c r="F62" i="97"/>
  <c r="H62" i="97" s="1"/>
  <c r="P61" i="97"/>
  <c r="Q61" i="97" s="1"/>
  <c r="F61" i="97"/>
  <c r="H61" i="97" s="1"/>
  <c r="P60" i="97"/>
  <c r="Q60" i="97" s="1"/>
  <c r="H60" i="97"/>
  <c r="F60" i="97"/>
  <c r="P59" i="97"/>
  <c r="Q59" i="97" s="1"/>
  <c r="F59" i="97"/>
  <c r="H59" i="97" s="1"/>
  <c r="P58" i="97"/>
  <c r="Q58" i="97" s="1"/>
  <c r="F58" i="97"/>
  <c r="H58" i="97" s="1"/>
  <c r="P57" i="97"/>
  <c r="Q57" i="97" s="1"/>
  <c r="F57" i="97"/>
  <c r="H57" i="97" s="1"/>
  <c r="P56" i="97"/>
  <c r="Q56" i="97" s="1"/>
  <c r="H56" i="97"/>
  <c r="F56" i="97"/>
  <c r="P55" i="97"/>
  <c r="Q55" i="97" s="1"/>
  <c r="F55" i="97"/>
  <c r="H55" i="97" s="1"/>
  <c r="P54" i="97"/>
  <c r="Q54" i="97" s="1"/>
  <c r="F54" i="97"/>
  <c r="H54" i="97" s="1"/>
  <c r="P53" i="97"/>
  <c r="Q53" i="97" s="1"/>
  <c r="F53" i="97"/>
  <c r="H53" i="97" s="1"/>
  <c r="P52" i="97"/>
  <c r="Q52" i="97" s="1"/>
  <c r="H52" i="97"/>
  <c r="F52" i="97"/>
  <c r="P51" i="97"/>
  <c r="Q51" i="97" s="1"/>
  <c r="F51" i="97"/>
  <c r="H51" i="97" s="1"/>
  <c r="P50" i="97"/>
  <c r="Q50" i="97" s="1"/>
  <c r="F50" i="97"/>
  <c r="H50" i="97" s="1"/>
  <c r="P49" i="97"/>
  <c r="Q49" i="97" s="1"/>
  <c r="F49" i="97"/>
  <c r="H49" i="97" s="1"/>
  <c r="P48" i="97"/>
  <c r="Q48" i="97" s="1"/>
  <c r="H48" i="97"/>
  <c r="F48" i="97"/>
  <c r="P47" i="97"/>
  <c r="Q47" i="97" s="1"/>
  <c r="F47" i="97"/>
  <c r="H47" i="97" s="1"/>
  <c r="P46" i="97"/>
  <c r="Q46" i="97" s="1"/>
  <c r="F46" i="97"/>
  <c r="H46" i="97" s="1"/>
  <c r="P45" i="97"/>
  <c r="Q45" i="97" s="1"/>
  <c r="F45" i="97"/>
  <c r="H45" i="97" s="1"/>
  <c r="P44" i="97"/>
  <c r="Q44" i="97" s="1"/>
  <c r="F44" i="97"/>
  <c r="H44" i="97" s="1"/>
  <c r="P43" i="97"/>
  <c r="Q43" i="97" s="1"/>
  <c r="F43" i="97"/>
  <c r="H43" i="97" s="1"/>
  <c r="P42" i="97"/>
  <c r="Q42" i="97" s="1"/>
  <c r="P41" i="97"/>
  <c r="Q41" i="97" s="1"/>
  <c r="P40" i="97"/>
  <c r="Q40" i="97" s="1"/>
  <c r="P39" i="97"/>
  <c r="Q39" i="97" s="1"/>
  <c r="F39" i="97"/>
  <c r="P38" i="97"/>
  <c r="Q38" i="97" s="1"/>
  <c r="P37" i="97"/>
  <c r="Q37" i="97" s="1"/>
  <c r="P36" i="97"/>
  <c r="Q36" i="97" s="1"/>
  <c r="P35" i="97"/>
  <c r="Q35" i="97" s="1"/>
  <c r="P34" i="97"/>
  <c r="Q34" i="97" s="1"/>
  <c r="P33" i="97"/>
  <c r="Q33" i="97" s="1"/>
  <c r="E25" i="97"/>
  <c r="F4" i="97"/>
  <c r="B3" i="97" a="1"/>
  <c r="B3" i="97" s="1"/>
  <c r="P91" i="96"/>
  <c r="Q91" i="96" s="1"/>
  <c r="F91" i="96"/>
  <c r="H91" i="96" s="1"/>
  <c r="P90" i="96"/>
  <c r="Q90" i="96" s="1"/>
  <c r="F90" i="96"/>
  <c r="H90" i="96" s="1"/>
  <c r="P89" i="96"/>
  <c r="Q89" i="96" s="1"/>
  <c r="F89" i="96"/>
  <c r="H89" i="96" s="1"/>
  <c r="P88" i="96"/>
  <c r="Q88" i="96" s="1"/>
  <c r="F88" i="96"/>
  <c r="H88" i="96" s="1"/>
  <c r="P87" i="96"/>
  <c r="Q87" i="96" s="1"/>
  <c r="F87" i="96"/>
  <c r="H87" i="96" s="1"/>
  <c r="P86" i="96"/>
  <c r="Q86" i="96" s="1"/>
  <c r="F86" i="96"/>
  <c r="H86" i="96" s="1"/>
  <c r="P85" i="96"/>
  <c r="Q85" i="96" s="1"/>
  <c r="F85" i="96"/>
  <c r="H85" i="96" s="1"/>
  <c r="P84" i="96"/>
  <c r="Q84" i="96" s="1"/>
  <c r="F84" i="96"/>
  <c r="H84" i="96" s="1"/>
  <c r="P83" i="96"/>
  <c r="Q83" i="96" s="1"/>
  <c r="F83" i="96"/>
  <c r="H83" i="96" s="1"/>
  <c r="P82" i="96"/>
  <c r="Q82" i="96" s="1"/>
  <c r="F82" i="96"/>
  <c r="H82" i="96" s="1"/>
  <c r="P81" i="96"/>
  <c r="Q81" i="96" s="1"/>
  <c r="F81" i="96"/>
  <c r="H81" i="96" s="1"/>
  <c r="P80" i="96"/>
  <c r="Q80" i="96" s="1"/>
  <c r="F80" i="96"/>
  <c r="H80" i="96" s="1"/>
  <c r="P79" i="96"/>
  <c r="Q79" i="96" s="1"/>
  <c r="F79" i="96"/>
  <c r="H79" i="96" s="1"/>
  <c r="P78" i="96"/>
  <c r="Q78" i="96" s="1"/>
  <c r="F78" i="96"/>
  <c r="H78" i="96" s="1"/>
  <c r="P77" i="96"/>
  <c r="Q77" i="96" s="1"/>
  <c r="F77" i="96"/>
  <c r="H77" i="96" s="1"/>
  <c r="P76" i="96"/>
  <c r="Q76" i="96" s="1"/>
  <c r="F76" i="96"/>
  <c r="H76" i="96" s="1"/>
  <c r="P75" i="96"/>
  <c r="Q75" i="96" s="1"/>
  <c r="F75" i="96"/>
  <c r="H75" i="96" s="1"/>
  <c r="P74" i="96"/>
  <c r="Q74" i="96" s="1"/>
  <c r="F74" i="96"/>
  <c r="H74" i="96" s="1"/>
  <c r="P73" i="96"/>
  <c r="Q73" i="96" s="1"/>
  <c r="F73" i="96"/>
  <c r="H73" i="96" s="1"/>
  <c r="P72" i="96"/>
  <c r="Q72" i="96" s="1"/>
  <c r="F72" i="96"/>
  <c r="H72" i="96" s="1"/>
  <c r="P71" i="96"/>
  <c r="Q71" i="96" s="1"/>
  <c r="F71" i="96"/>
  <c r="H71" i="96" s="1"/>
  <c r="P70" i="96"/>
  <c r="Q70" i="96" s="1"/>
  <c r="F70" i="96"/>
  <c r="H70" i="96" s="1"/>
  <c r="P69" i="96"/>
  <c r="Q69" i="96" s="1"/>
  <c r="F69" i="96"/>
  <c r="H69" i="96" s="1"/>
  <c r="P68" i="96"/>
  <c r="Q68" i="96" s="1"/>
  <c r="F68" i="96"/>
  <c r="H68" i="96" s="1"/>
  <c r="P67" i="96"/>
  <c r="Q67" i="96" s="1"/>
  <c r="F67" i="96"/>
  <c r="H67" i="96" s="1"/>
  <c r="P66" i="96"/>
  <c r="Q66" i="96" s="1"/>
  <c r="F66" i="96"/>
  <c r="H66" i="96" s="1"/>
  <c r="P65" i="96"/>
  <c r="Q65" i="96" s="1"/>
  <c r="F65" i="96"/>
  <c r="H65" i="96" s="1"/>
  <c r="P64" i="96"/>
  <c r="Q64" i="96" s="1"/>
  <c r="F64" i="96"/>
  <c r="H64" i="96" s="1"/>
  <c r="P63" i="96"/>
  <c r="Q63" i="96" s="1"/>
  <c r="F63" i="96"/>
  <c r="H63" i="96" s="1"/>
  <c r="P62" i="96"/>
  <c r="Q62" i="96" s="1"/>
  <c r="F62" i="96"/>
  <c r="H62" i="96" s="1"/>
  <c r="P61" i="96"/>
  <c r="Q61" i="96" s="1"/>
  <c r="F61" i="96"/>
  <c r="H61" i="96" s="1"/>
  <c r="P60" i="96"/>
  <c r="Q60" i="96" s="1"/>
  <c r="F60" i="96"/>
  <c r="H60" i="96" s="1"/>
  <c r="P59" i="96"/>
  <c r="Q59" i="96" s="1"/>
  <c r="F59" i="96"/>
  <c r="H59" i="96" s="1"/>
  <c r="P58" i="96"/>
  <c r="Q58" i="96" s="1"/>
  <c r="F58" i="96"/>
  <c r="H58" i="96" s="1"/>
  <c r="P57" i="96"/>
  <c r="Q57" i="96" s="1"/>
  <c r="F57" i="96"/>
  <c r="H57" i="96" s="1"/>
  <c r="P56" i="96"/>
  <c r="Q56" i="96" s="1"/>
  <c r="F56" i="96"/>
  <c r="H56" i="96" s="1"/>
  <c r="P55" i="96"/>
  <c r="Q55" i="96" s="1"/>
  <c r="F55" i="96"/>
  <c r="H55" i="96" s="1"/>
  <c r="P54" i="96"/>
  <c r="Q54" i="96" s="1"/>
  <c r="F54" i="96"/>
  <c r="H54" i="96" s="1"/>
  <c r="P53" i="96"/>
  <c r="Q53" i="96" s="1"/>
  <c r="F53" i="96"/>
  <c r="H53" i="96" s="1"/>
  <c r="P52" i="96"/>
  <c r="Q52" i="96" s="1"/>
  <c r="F52" i="96"/>
  <c r="H52" i="96" s="1"/>
  <c r="P51" i="96"/>
  <c r="Q51" i="96" s="1"/>
  <c r="F51" i="96"/>
  <c r="H51" i="96" s="1"/>
  <c r="P50" i="96"/>
  <c r="Q50" i="96" s="1"/>
  <c r="F50" i="96"/>
  <c r="H50" i="96" s="1"/>
  <c r="P49" i="96"/>
  <c r="Q49" i="96" s="1"/>
  <c r="F49" i="96"/>
  <c r="H49" i="96" s="1"/>
  <c r="P48" i="96"/>
  <c r="Q48" i="96" s="1"/>
  <c r="F48" i="96"/>
  <c r="H48" i="96" s="1"/>
  <c r="P47" i="96"/>
  <c r="Q47" i="96" s="1"/>
  <c r="F47" i="96"/>
  <c r="H47" i="96" s="1"/>
  <c r="P46" i="96"/>
  <c r="Q46" i="96" s="1"/>
  <c r="F46" i="96"/>
  <c r="H46" i="96" s="1"/>
  <c r="P45" i="96"/>
  <c r="Q45" i="96" s="1"/>
  <c r="F45" i="96"/>
  <c r="H45" i="96" s="1"/>
  <c r="P44" i="96"/>
  <c r="Q44" i="96" s="1"/>
  <c r="F44" i="96"/>
  <c r="H44" i="96" s="1"/>
  <c r="P43" i="96"/>
  <c r="Q43" i="96" s="1"/>
  <c r="F43" i="96"/>
  <c r="H43" i="96" s="1"/>
  <c r="P42" i="96"/>
  <c r="Q42" i="96" s="1"/>
  <c r="F42" i="96"/>
  <c r="H42" i="96" s="1"/>
  <c r="P41" i="96"/>
  <c r="Q41" i="96" s="1"/>
  <c r="P40" i="96"/>
  <c r="Q40" i="96" s="1"/>
  <c r="Q39" i="96"/>
  <c r="P39" i="96"/>
  <c r="F39" i="96"/>
  <c r="P38" i="96"/>
  <c r="Q38" i="96" s="1"/>
  <c r="P37" i="96"/>
  <c r="Q37" i="96" s="1"/>
  <c r="P36" i="96"/>
  <c r="Q36" i="96" s="1"/>
  <c r="P35" i="96"/>
  <c r="Q35" i="96" s="1"/>
  <c r="P34" i="96"/>
  <c r="Q34" i="96" s="1"/>
  <c r="P33" i="96"/>
  <c r="Q33" i="96" s="1"/>
  <c r="P32" i="96"/>
  <c r="Q32" i="96" s="1"/>
  <c r="P31" i="96"/>
  <c r="Q31" i="96" s="1"/>
  <c r="F4" i="96"/>
  <c r="B3" i="96" a="1"/>
  <c r="B3" i="96" s="1"/>
  <c r="F92" i="95"/>
  <c r="Q91" i="95"/>
  <c r="P91" i="95"/>
  <c r="H91" i="95"/>
  <c r="F91" i="95"/>
  <c r="Q90" i="95"/>
  <c r="P90" i="95"/>
  <c r="H90" i="95"/>
  <c r="F90" i="95"/>
  <c r="Q89" i="95"/>
  <c r="P89" i="95"/>
  <c r="H89" i="95"/>
  <c r="F89" i="95"/>
  <c r="Q88" i="95"/>
  <c r="P88" i="95"/>
  <c r="H88" i="95"/>
  <c r="F88" i="95"/>
  <c r="Q87" i="95"/>
  <c r="P87" i="95"/>
  <c r="H87" i="95"/>
  <c r="F87" i="95"/>
  <c r="Q86" i="95"/>
  <c r="P86" i="95"/>
  <c r="H86" i="95"/>
  <c r="F86" i="95"/>
  <c r="Q85" i="95"/>
  <c r="P85" i="95"/>
  <c r="H85" i="95"/>
  <c r="F85" i="95"/>
  <c r="Q84" i="95"/>
  <c r="P84" i="95"/>
  <c r="H84" i="95"/>
  <c r="F84" i="95"/>
  <c r="Q83" i="95"/>
  <c r="P83" i="95"/>
  <c r="H83" i="95"/>
  <c r="F83" i="95"/>
  <c r="Q82" i="95"/>
  <c r="P82" i="95"/>
  <c r="H82" i="95"/>
  <c r="F82" i="95"/>
  <c r="Q81" i="95"/>
  <c r="P81" i="95"/>
  <c r="H81" i="95"/>
  <c r="F81" i="95"/>
  <c r="Q80" i="95"/>
  <c r="P80" i="95"/>
  <c r="H80" i="95"/>
  <c r="F80" i="95"/>
  <c r="Q79" i="95"/>
  <c r="P79" i="95"/>
  <c r="H79" i="95"/>
  <c r="F79" i="95"/>
  <c r="Q78" i="95"/>
  <c r="P78" i="95"/>
  <c r="H78" i="95"/>
  <c r="F78" i="95"/>
  <c r="Q77" i="95"/>
  <c r="P77" i="95"/>
  <c r="H77" i="95"/>
  <c r="F77" i="95"/>
  <c r="Q76" i="95"/>
  <c r="P76" i="95"/>
  <c r="H76" i="95"/>
  <c r="F76" i="95"/>
  <c r="Q75" i="95"/>
  <c r="P75" i="95"/>
  <c r="H75" i="95"/>
  <c r="F75" i="95"/>
  <c r="Q74" i="95"/>
  <c r="P74" i="95"/>
  <c r="H74" i="95"/>
  <c r="F74" i="95"/>
  <c r="Q73" i="95"/>
  <c r="P73" i="95"/>
  <c r="H73" i="95"/>
  <c r="F73" i="95"/>
  <c r="Q72" i="95"/>
  <c r="P72" i="95"/>
  <c r="H72" i="95"/>
  <c r="F72" i="95"/>
  <c r="Q71" i="95"/>
  <c r="P71" i="95"/>
  <c r="H71" i="95"/>
  <c r="F71" i="95"/>
  <c r="Q70" i="95"/>
  <c r="P70" i="95"/>
  <c r="H70" i="95"/>
  <c r="F70" i="95"/>
  <c r="Q69" i="95"/>
  <c r="P69" i="95"/>
  <c r="H69" i="95"/>
  <c r="F69" i="95"/>
  <c r="Q68" i="95"/>
  <c r="P68" i="95"/>
  <c r="H68" i="95"/>
  <c r="F68" i="95"/>
  <c r="Q67" i="95"/>
  <c r="P67" i="95"/>
  <c r="H67" i="95"/>
  <c r="F67" i="95"/>
  <c r="Q66" i="95"/>
  <c r="P66" i="95"/>
  <c r="H66" i="95"/>
  <c r="F66" i="95"/>
  <c r="Q65" i="95"/>
  <c r="P65" i="95"/>
  <c r="H65" i="95"/>
  <c r="F65" i="95"/>
  <c r="Q64" i="95"/>
  <c r="P64" i="95"/>
  <c r="H64" i="95"/>
  <c r="F64" i="95"/>
  <c r="Q63" i="95"/>
  <c r="P63" i="95"/>
  <c r="H63" i="95"/>
  <c r="F63" i="95"/>
  <c r="Q62" i="95"/>
  <c r="P62" i="95"/>
  <c r="H62" i="95"/>
  <c r="F62" i="95"/>
  <c r="Q61" i="95"/>
  <c r="P61" i="95"/>
  <c r="H61" i="95"/>
  <c r="F61" i="95"/>
  <c r="Q60" i="95"/>
  <c r="P60" i="95"/>
  <c r="H60" i="95"/>
  <c r="F60" i="95"/>
  <c r="Q59" i="95"/>
  <c r="P59" i="95"/>
  <c r="H59" i="95"/>
  <c r="F59" i="95"/>
  <c r="Q58" i="95"/>
  <c r="P58" i="95"/>
  <c r="H58" i="95"/>
  <c r="F58" i="95"/>
  <c r="Q57" i="95"/>
  <c r="P57" i="95"/>
  <c r="H57" i="95"/>
  <c r="F57" i="95"/>
  <c r="Q56" i="95"/>
  <c r="P56" i="95"/>
  <c r="H56" i="95"/>
  <c r="F56" i="95"/>
  <c r="Q55" i="95"/>
  <c r="P55" i="95"/>
  <c r="H55" i="95"/>
  <c r="F55" i="95"/>
  <c r="Q54" i="95"/>
  <c r="P54" i="95"/>
  <c r="H54" i="95"/>
  <c r="F54" i="95"/>
  <c r="Q53" i="95"/>
  <c r="P53" i="95"/>
  <c r="H53" i="95"/>
  <c r="F53" i="95"/>
  <c r="Q52" i="95"/>
  <c r="P52" i="95"/>
  <c r="H52" i="95"/>
  <c r="F52" i="95"/>
  <c r="Q51" i="95"/>
  <c r="P51" i="95"/>
  <c r="H51" i="95"/>
  <c r="F51" i="95"/>
  <c r="Q50" i="95"/>
  <c r="P50" i="95"/>
  <c r="H50" i="95"/>
  <c r="F50" i="95"/>
  <c r="Q49" i="95"/>
  <c r="P49" i="95"/>
  <c r="H49" i="95"/>
  <c r="F49" i="95"/>
  <c r="Q48" i="95"/>
  <c r="P48" i="95"/>
  <c r="H48" i="95"/>
  <c r="F48" i="95"/>
  <c r="Q47" i="95"/>
  <c r="P47" i="95"/>
  <c r="H47" i="95"/>
  <c r="F47" i="95"/>
  <c r="Q46" i="95"/>
  <c r="P46" i="95"/>
  <c r="H46" i="95"/>
  <c r="F46" i="95"/>
  <c r="Q45" i="95"/>
  <c r="P45" i="95"/>
  <c r="H45" i="95"/>
  <c r="F45" i="95"/>
  <c r="Q44" i="95"/>
  <c r="P44" i="95"/>
  <c r="H44" i="95"/>
  <c r="F44" i="95"/>
  <c r="Q43" i="95"/>
  <c r="P43" i="95"/>
  <c r="H43" i="95"/>
  <c r="F43" i="95"/>
  <c r="Q42" i="95"/>
  <c r="P42" i="95"/>
  <c r="H42" i="95"/>
  <c r="F42" i="95"/>
  <c r="Q41" i="95"/>
  <c r="P41" i="95"/>
  <c r="H41" i="95"/>
  <c r="P40" i="95"/>
  <c r="Q40" i="95" s="1"/>
  <c r="Q39" i="95"/>
  <c r="P39" i="95"/>
  <c r="F39" i="95"/>
  <c r="E25" i="95"/>
  <c r="E24" i="95"/>
  <c r="E30" i="95" s="1"/>
  <c r="F4" i="95"/>
  <c r="B3" i="95" a="1"/>
  <c r="B3" i="95" s="1"/>
  <c r="P91" i="94"/>
  <c r="Q91" i="94" s="1"/>
  <c r="F91" i="94"/>
  <c r="H91" i="94" s="1"/>
  <c r="P90" i="94"/>
  <c r="Q90" i="94" s="1"/>
  <c r="F90" i="94"/>
  <c r="H90" i="94" s="1"/>
  <c r="P89" i="94"/>
  <c r="Q89" i="94" s="1"/>
  <c r="F89" i="94"/>
  <c r="H89" i="94" s="1"/>
  <c r="P88" i="94"/>
  <c r="Q88" i="94" s="1"/>
  <c r="F88" i="94"/>
  <c r="H88" i="94" s="1"/>
  <c r="P87" i="94"/>
  <c r="Q87" i="94" s="1"/>
  <c r="F87" i="94"/>
  <c r="H87" i="94" s="1"/>
  <c r="P86" i="94"/>
  <c r="Q86" i="94" s="1"/>
  <c r="F86" i="94"/>
  <c r="H86" i="94" s="1"/>
  <c r="P85" i="94"/>
  <c r="Q85" i="94" s="1"/>
  <c r="F85" i="94"/>
  <c r="H85" i="94" s="1"/>
  <c r="P84" i="94"/>
  <c r="Q84" i="94" s="1"/>
  <c r="F84" i="94"/>
  <c r="H84" i="94" s="1"/>
  <c r="P83" i="94"/>
  <c r="Q83" i="94" s="1"/>
  <c r="F83" i="94"/>
  <c r="H83" i="94" s="1"/>
  <c r="P82" i="94"/>
  <c r="Q82" i="94" s="1"/>
  <c r="F82" i="94"/>
  <c r="H82" i="94" s="1"/>
  <c r="P81" i="94"/>
  <c r="Q81" i="94" s="1"/>
  <c r="F81" i="94"/>
  <c r="H81" i="94" s="1"/>
  <c r="P80" i="94"/>
  <c r="Q80" i="94" s="1"/>
  <c r="F80" i="94"/>
  <c r="H80" i="94" s="1"/>
  <c r="P79" i="94"/>
  <c r="Q79" i="94" s="1"/>
  <c r="F79" i="94"/>
  <c r="H79" i="94" s="1"/>
  <c r="P78" i="94"/>
  <c r="Q78" i="94" s="1"/>
  <c r="F78" i="94"/>
  <c r="H78" i="94" s="1"/>
  <c r="P77" i="94"/>
  <c r="Q77" i="94" s="1"/>
  <c r="F77" i="94"/>
  <c r="H77" i="94" s="1"/>
  <c r="P76" i="94"/>
  <c r="Q76" i="94" s="1"/>
  <c r="F76" i="94"/>
  <c r="H76" i="94" s="1"/>
  <c r="P75" i="94"/>
  <c r="Q75" i="94" s="1"/>
  <c r="F75" i="94"/>
  <c r="H75" i="94" s="1"/>
  <c r="P74" i="94"/>
  <c r="Q74" i="94" s="1"/>
  <c r="F74" i="94"/>
  <c r="H74" i="94" s="1"/>
  <c r="P73" i="94"/>
  <c r="Q73" i="94" s="1"/>
  <c r="F73" i="94"/>
  <c r="H73" i="94" s="1"/>
  <c r="P72" i="94"/>
  <c r="Q72" i="94" s="1"/>
  <c r="F72" i="94"/>
  <c r="H72" i="94" s="1"/>
  <c r="P71" i="94"/>
  <c r="Q71" i="94" s="1"/>
  <c r="F71" i="94"/>
  <c r="H71" i="94" s="1"/>
  <c r="P70" i="94"/>
  <c r="Q70" i="94" s="1"/>
  <c r="F70" i="94"/>
  <c r="H70" i="94" s="1"/>
  <c r="P69" i="94"/>
  <c r="Q69" i="94" s="1"/>
  <c r="F69" i="94"/>
  <c r="H69" i="94" s="1"/>
  <c r="P68" i="94"/>
  <c r="Q68" i="94" s="1"/>
  <c r="F68" i="94"/>
  <c r="H68" i="94" s="1"/>
  <c r="P67" i="94"/>
  <c r="Q67" i="94" s="1"/>
  <c r="F67" i="94"/>
  <c r="H67" i="94" s="1"/>
  <c r="P66" i="94"/>
  <c r="Q66" i="94" s="1"/>
  <c r="F66" i="94"/>
  <c r="H66" i="94" s="1"/>
  <c r="P65" i="94"/>
  <c r="Q65" i="94" s="1"/>
  <c r="F65" i="94"/>
  <c r="H65" i="94" s="1"/>
  <c r="P64" i="94"/>
  <c r="Q64" i="94" s="1"/>
  <c r="F64" i="94"/>
  <c r="H64" i="94" s="1"/>
  <c r="P63" i="94"/>
  <c r="Q63" i="94" s="1"/>
  <c r="F63" i="94"/>
  <c r="H63" i="94" s="1"/>
  <c r="P62" i="94"/>
  <c r="Q62" i="94" s="1"/>
  <c r="F62" i="94"/>
  <c r="H62" i="94" s="1"/>
  <c r="P61" i="94"/>
  <c r="Q61" i="94" s="1"/>
  <c r="F61" i="94"/>
  <c r="H61" i="94" s="1"/>
  <c r="P60" i="94"/>
  <c r="Q60" i="94" s="1"/>
  <c r="F60" i="94"/>
  <c r="H60" i="94" s="1"/>
  <c r="P59" i="94"/>
  <c r="Q59" i="94" s="1"/>
  <c r="F59" i="94"/>
  <c r="H59" i="94" s="1"/>
  <c r="P58" i="94"/>
  <c r="Q58" i="94" s="1"/>
  <c r="F58" i="94"/>
  <c r="H58" i="94" s="1"/>
  <c r="P57" i="94"/>
  <c r="Q57" i="94" s="1"/>
  <c r="H57" i="94"/>
  <c r="F57" i="94"/>
  <c r="P56" i="94"/>
  <c r="Q56" i="94" s="1"/>
  <c r="H56" i="94"/>
  <c r="F56" i="94"/>
  <c r="P55" i="94"/>
  <c r="Q55" i="94" s="1"/>
  <c r="H55" i="94"/>
  <c r="F55" i="94"/>
  <c r="P54" i="94"/>
  <c r="Q54" i="94" s="1"/>
  <c r="H54" i="94"/>
  <c r="F54" i="94"/>
  <c r="P53" i="94"/>
  <c r="Q53" i="94" s="1"/>
  <c r="H53" i="94"/>
  <c r="F53" i="94"/>
  <c r="P52" i="94"/>
  <c r="Q52" i="94" s="1"/>
  <c r="H52" i="94"/>
  <c r="F52" i="94"/>
  <c r="P51" i="94"/>
  <c r="Q51" i="94" s="1"/>
  <c r="H51" i="94"/>
  <c r="F51" i="94"/>
  <c r="P50" i="94"/>
  <c r="Q50" i="94" s="1"/>
  <c r="H50" i="94"/>
  <c r="F50" i="94"/>
  <c r="P49" i="94"/>
  <c r="Q49" i="94" s="1"/>
  <c r="H49" i="94"/>
  <c r="F49" i="94"/>
  <c r="P48" i="94"/>
  <c r="Q48" i="94" s="1"/>
  <c r="H48" i="94"/>
  <c r="F48" i="94"/>
  <c r="P47" i="94"/>
  <c r="Q47" i="94" s="1"/>
  <c r="H47" i="94"/>
  <c r="F47" i="94"/>
  <c r="P46" i="94"/>
  <c r="Q46" i="94" s="1"/>
  <c r="H46" i="94"/>
  <c r="F46" i="94"/>
  <c r="P45" i="94"/>
  <c r="Q45" i="94" s="1"/>
  <c r="H45" i="94"/>
  <c r="F45" i="94"/>
  <c r="P44" i="94"/>
  <c r="Q44" i="94" s="1"/>
  <c r="H44" i="94"/>
  <c r="F44" i="94"/>
  <c r="P43" i="94"/>
  <c r="Q43" i="94" s="1"/>
  <c r="H43" i="94"/>
  <c r="F43" i="94"/>
  <c r="P42" i="94"/>
  <c r="Q42" i="94" s="1"/>
  <c r="H42" i="94"/>
  <c r="F42" i="94"/>
  <c r="P41" i="94"/>
  <c r="Q41" i="94" s="1"/>
  <c r="P40" i="94"/>
  <c r="Q40" i="94" s="1"/>
  <c r="Q39" i="94"/>
  <c r="P39" i="94"/>
  <c r="F39" i="94"/>
  <c r="F92" i="94" s="1"/>
  <c r="E24" i="94" s="1"/>
  <c r="P38" i="94"/>
  <c r="Q38" i="94" s="1"/>
  <c r="P37" i="94"/>
  <c r="Q37" i="94" s="1"/>
  <c r="P36" i="94"/>
  <c r="Q36" i="94" s="1"/>
  <c r="P35" i="94"/>
  <c r="Q35" i="94" s="1"/>
  <c r="P34" i="94"/>
  <c r="Q34" i="94" s="1"/>
  <c r="P33" i="94"/>
  <c r="Q33" i="94" s="1"/>
  <c r="E25" i="94"/>
  <c r="F4" i="94"/>
  <c r="B3" i="94" a="1"/>
  <c r="B3" i="94" s="1"/>
  <c r="Q91" i="88"/>
  <c r="P91" i="88"/>
  <c r="H91" i="88"/>
  <c r="F91" i="88"/>
  <c r="Q90" i="88"/>
  <c r="P90" i="88"/>
  <c r="H90" i="88"/>
  <c r="F90" i="88"/>
  <c r="Q89" i="88"/>
  <c r="P89" i="88"/>
  <c r="H89" i="88"/>
  <c r="F89" i="88"/>
  <c r="Q88" i="88"/>
  <c r="P88" i="88"/>
  <c r="H88" i="88"/>
  <c r="F88" i="88"/>
  <c r="Q87" i="88"/>
  <c r="P87" i="88"/>
  <c r="H87" i="88"/>
  <c r="F87" i="88"/>
  <c r="Q86" i="88"/>
  <c r="P86" i="88"/>
  <c r="H86" i="88"/>
  <c r="F86" i="88"/>
  <c r="Q85" i="88"/>
  <c r="P85" i="88"/>
  <c r="H85" i="88"/>
  <c r="F85" i="88"/>
  <c r="Q84" i="88"/>
  <c r="P84" i="88"/>
  <c r="H84" i="88"/>
  <c r="F84" i="88"/>
  <c r="Q83" i="88"/>
  <c r="P83" i="88"/>
  <c r="H83" i="88"/>
  <c r="F83" i="88"/>
  <c r="Q82" i="88"/>
  <c r="P82" i="88"/>
  <c r="H82" i="88"/>
  <c r="F82" i="88"/>
  <c r="Q81" i="88"/>
  <c r="P81" i="88"/>
  <c r="H81" i="88"/>
  <c r="F81" i="88"/>
  <c r="Q80" i="88"/>
  <c r="P80" i="88"/>
  <c r="H80" i="88"/>
  <c r="F80" i="88"/>
  <c r="Q79" i="88"/>
  <c r="P79" i="88"/>
  <c r="H79" i="88"/>
  <c r="F79" i="88"/>
  <c r="Q78" i="88"/>
  <c r="P78" i="88"/>
  <c r="H78" i="88"/>
  <c r="F78" i="88"/>
  <c r="Q77" i="88"/>
  <c r="P77" i="88"/>
  <c r="H77" i="88"/>
  <c r="F77" i="88"/>
  <c r="Q76" i="88"/>
  <c r="P76" i="88"/>
  <c r="H76" i="88"/>
  <c r="F76" i="88"/>
  <c r="Q75" i="88"/>
  <c r="P75" i="88"/>
  <c r="H75" i="88"/>
  <c r="F75" i="88"/>
  <c r="Q74" i="88"/>
  <c r="P74" i="88"/>
  <c r="H74" i="88"/>
  <c r="F74" i="88"/>
  <c r="Q73" i="88"/>
  <c r="P73" i="88"/>
  <c r="H73" i="88"/>
  <c r="F73" i="88"/>
  <c r="Q72" i="88"/>
  <c r="P72" i="88"/>
  <c r="H72" i="88"/>
  <c r="F72" i="88"/>
  <c r="Q71" i="88"/>
  <c r="P71" i="88"/>
  <c r="H71" i="88"/>
  <c r="F71" i="88"/>
  <c r="Q70" i="88"/>
  <c r="P70" i="88"/>
  <c r="H70" i="88"/>
  <c r="F70" i="88"/>
  <c r="Q69" i="88"/>
  <c r="P69" i="88"/>
  <c r="H69" i="88"/>
  <c r="F69" i="88"/>
  <c r="Q68" i="88"/>
  <c r="P68" i="88"/>
  <c r="H68" i="88"/>
  <c r="F68" i="88"/>
  <c r="Q67" i="88"/>
  <c r="P67" i="88"/>
  <c r="H67" i="88"/>
  <c r="F67" i="88"/>
  <c r="Q66" i="88"/>
  <c r="P66" i="88"/>
  <c r="H66" i="88"/>
  <c r="F66" i="88"/>
  <c r="H65" i="88"/>
  <c r="F65" i="88"/>
  <c r="H64" i="88"/>
  <c r="F64" i="88"/>
  <c r="H63" i="88"/>
  <c r="F63" i="88"/>
  <c r="H62" i="88"/>
  <c r="F62" i="88"/>
  <c r="H61" i="88"/>
  <c r="F61" i="88"/>
  <c r="H60" i="88"/>
  <c r="F60" i="88"/>
  <c r="H59" i="88"/>
  <c r="F59" i="88"/>
  <c r="H58" i="88"/>
  <c r="F58" i="88"/>
  <c r="H57" i="88"/>
  <c r="F57" i="88"/>
  <c r="H56" i="88"/>
  <c r="F56" i="88"/>
  <c r="H55" i="88"/>
  <c r="F55" i="88"/>
  <c r="H54" i="88"/>
  <c r="F54" i="88"/>
  <c r="H53" i="88"/>
  <c r="F53" i="88"/>
  <c r="H52" i="88"/>
  <c r="F52" i="88"/>
  <c r="H51" i="88"/>
  <c r="F51" i="88"/>
  <c r="H50" i="88"/>
  <c r="F50" i="88"/>
  <c r="H49" i="88"/>
  <c r="F49" i="88"/>
  <c r="H48" i="88"/>
  <c r="F48" i="88"/>
  <c r="H47" i="88"/>
  <c r="F47" i="88"/>
  <c r="H46" i="88"/>
  <c r="F46" i="88"/>
  <c r="H45" i="88"/>
  <c r="F45" i="88"/>
  <c r="H44" i="88"/>
  <c r="F44" i="88"/>
  <c r="H43" i="88"/>
  <c r="F43" i="88"/>
  <c r="H42" i="88"/>
  <c r="F42" i="88"/>
  <c r="H41" i="88"/>
  <c r="F39" i="88"/>
  <c r="F92" i="88" s="1"/>
  <c r="E24" i="88" s="1"/>
  <c r="E25" i="88"/>
  <c r="F4" i="88"/>
  <c r="B3" i="88" a="1"/>
  <c r="B3" i="88" s="1"/>
  <c r="P91" i="84"/>
  <c r="Q91" i="84" s="1"/>
  <c r="F91" i="84"/>
  <c r="H91" i="84" s="1"/>
  <c r="P90" i="84"/>
  <c r="Q90" i="84" s="1"/>
  <c r="F90" i="84"/>
  <c r="H90" i="84" s="1"/>
  <c r="P89" i="84"/>
  <c r="Q89" i="84" s="1"/>
  <c r="F89" i="84"/>
  <c r="H89" i="84" s="1"/>
  <c r="P88" i="84"/>
  <c r="Q88" i="84" s="1"/>
  <c r="F88" i="84"/>
  <c r="H88" i="84" s="1"/>
  <c r="Q87" i="84"/>
  <c r="P87" i="84"/>
  <c r="F87" i="84"/>
  <c r="H87" i="84" s="1"/>
  <c r="Q86" i="84"/>
  <c r="P86" i="84"/>
  <c r="F86" i="84"/>
  <c r="H86" i="84" s="1"/>
  <c r="P85" i="84"/>
  <c r="Q85" i="84" s="1"/>
  <c r="F85" i="84"/>
  <c r="H85" i="84" s="1"/>
  <c r="P84" i="84"/>
  <c r="Q84" i="84" s="1"/>
  <c r="F84" i="84"/>
  <c r="H84" i="84" s="1"/>
  <c r="Q83" i="84"/>
  <c r="P83" i="84"/>
  <c r="F83" i="84"/>
  <c r="H83" i="84" s="1"/>
  <c r="Q82" i="84"/>
  <c r="P82" i="84"/>
  <c r="F82" i="84"/>
  <c r="H82" i="84" s="1"/>
  <c r="P81" i="84"/>
  <c r="Q81" i="84" s="1"/>
  <c r="F81" i="84"/>
  <c r="H81" i="84" s="1"/>
  <c r="P80" i="84"/>
  <c r="Q80" i="84" s="1"/>
  <c r="F80" i="84"/>
  <c r="H80" i="84" s="1"/>
  <c r="Q79" i="84"/>
  <c r="P79" i="84"/>
  <c r="F79" i="84"/>
  <c r="H79" i="84" s="1"/>
  <c r="Q78" i="84"/>
  <c r="P78" i="84"/>
  <c r="F78" i="84"/>
  <c r="H78" i="84" s="1"/>
  <c r="P77" i="84"/>
  <c r="Q77" i="84" s="1"/>
  <c r="F77" i="84"/>
  <c r="H77" i="84" s="1"/>
  <c r="P76" i="84"/>
  <c r="Q76" i="84" s="1"/>
  <c r="F76" i="84"/>
  <c r="H76" i="84" s="1"/>
  <c r="Q75" i="84"/>
  <c r="P75" i="84"/>
  <c r="F75" i="84"/>
  <c r="H75" i="84" s="1"/>
  <c r="Q74" i="84"/>
  <c r="P74" i="84"/>
  <c r="F74" i="84"/>
  <c r="H74" i="84" s="1"/>
  <c r="P73" i="84"/>
  <c r="Q73" i="84" s="1"/>
  <c r="F73" i="84"/>
  <c r="H73" i="84" s="1"/>
  <c r="P72" i="84"/>
  <c r="Q72" i="84" s="1"/>
  <c r="F72" i="84"/>
  <c r="H72" i="84" s="1"/>
  <c r="Q71" i="84"/>
  <c r="P71" i="84"/>
  <c r="F71" i="84"/>
  <c r="H71" i="84" s="1"/>
  <c r="Q70" i="84"/>
  <c r="P70" i="84"/>
  <c r="F70" i="84"/>
  <c r="H70" i="84" s="1"/>
  <c r="F69" i="84"/>
  <c r="H69" i="84" s="1"/>
  <c r="F68" i="84"/>
  <c r="H68" i="84" s="1"/>
  <c r="F67" i="84"/>
  <c r="H67" i="84" s="1"/>
  <c r="F66" i="84"/>
  <c r="H66" i="84" s="1"/>
  <c r="F65" i="84"/>
  <c r="H65" i="84" s="1"/>
  <c r="F64" i="84"/>
  <c r="H64" i="84" s="1"/>
  <c r="F63" i="84"/>
  <c r="H63" i="84" s="1"/>
  <c r="F62" i="84"/>
  <c r="H62" i="84" s="1"/>
  <c r="F61" i="84"/>
  <c r="H61" i="84" s="1"/>
  <c r="F60" i="84"/>
  <c r="H60" i="84" s="1"/>
  <c r="F59" i="84"/>
  <c r="H59" i="84" s="1"/>
  <c r="F58" i="84"/>
  <c r="H58" i="84" s="1"/>
  <c r="F57" i="84"/>
  <c r="H57" i="84" s="1"/>
  <c r="F56" i="84"/>
  <c r="H56" i="84" s="1"/>
  <c r="F55" i="84"/>
  <c r="H55" i="84" s="1"/>
  <c r="F54" i="84"/>
  <c r="H54" i="84" s="1"/>
  <c r="F53" i="84"/>
  <c r="H53" i="84" s="1"/>
  <c r="F52" i="84"/>
  <c r="H52" i="84" s="1"/>
  <c r="F51" i="84"/>
  <c r="H51" i="84" s="1"/>
  <c r="F50" i="84"/>
  <c r="H50" i="84" s="1"/>
  <c r="F49" i="84"/>
  <c r="H49" i="84" s="1"/>
  <c r="F48" i="84"/>
  <c r="H48" i="84" s="1"/>
  <c r="F47" i="84"/>
  <c r="H47" i="84" s="1"/>
  <c r="F46" i="84"/>
  <c r="H46" i="84" s="1"/>
  <c r="F45" i="84"/>
  <c r="H45" i="84" s="1"/>
  <c r="F44" i="84"/>
  <c r="H44" i="84" s="1"/>
  <c r="F43" i="84"/>
  <c r="H43" i="84" s="1"/>
  <c r="F42" i="84"/>
  <c r="H42" i="84" s="1"/>
  <c r="H41" i="84"/>
  <c r="F92" i="84"/>
  <c r="E25" i="84"/>
  <c r="E24" i="84"/>
  <c r="E30" i="84" s="1"/>
  <c r="L14" i="84"/>
  <c r="F4" i="84"/>
  <c r="B3" i="84" a="1"/>
  <c r="B3" i="84" s="1"/>
  <c r="E24" i="101" l="1"/>
  <c r="E25" i="101"/>
  <c r="E24" i="98"/>
  <c r="E24" i="99"/>
  <c r="H10" i="95"/>
  <c r="E25" i="96"/>
  <c r="F92" i="96"/>
  <c r="E30" i="94"/>
  <c r="H10" i="94"/>
  <c r="H10" i="88"/>
  <c r="E30" i="88"/>
  <c r="H10" i="84"/>
  <c r="B10" i="84" s="1"/>
  <c r="B2" i="1"/>
  <c r="B2" i="99" l="1"/>
  <c r="B2" i="95"/>
  <c r="B2" i="94"/>
  <c r="B2" i="96"/>
  <c r="B2" i="102"/>
  <c r="B2" i="101"/>
  <c r="B2" i="100"/>
  <c r="B2" i="98"/>
  <c r="B2" i="97"/>
  <c r="B2" i="103"/>
  <c r="E30" i="101"/>
  <c r="H10" i="101"/>
  <c r="E30" i="98"/>
  <c r="H10" i="98"/>
  <c r="E30" i="99"/>
  <c r="H10" i="99"/>
  <c r="H40" i="95"/>
  <c r="E24" i="96"/>
  <c r="B2" i="88"/>
  <c r="B2" i="84"/>
  <c r="E2" i="19"/>
  <c r="E2" i="50"/>
  <c r="B2" i="16"/>
  <c r="E16" i="16"/>
  <c r="B39" i="96" l="1" a="1"/>
  <c r="H41" i="96" s="1"/>
  <c r="L24" i="96" a="1"/>
  <c r="L24" i="100" a="1"/>
  <c r="B39" i="100" a="1"/>
  <c r="L24" i="94" a="1"/>
  <c r="B39" i="94" a="1"/>
  <c r="L24" i="103" a="1"/>
  <c r="B39" i="103" a="1"/>
  <c r="B39" i="101" a="1"/>
  <c r="L24" i="101" a="1"/>
  <c r="B39" i="95" a="1"/>
  <c r="L24" i="95" a="1"/>
  <c r="L24" i="98" a="1"/>
  <c r="B39" i="98" a="1"/>
  <c r="B39" i="97" a="1"/>
  <c r="L24" i="97" a="1"/>
  <c r="L24" i="102" a="1"/>
  <c r="B39" i="102" a="1"/>
  <c r="L24" i="99" a="1"/>
  <c r="B39" i="99" a="1"/>
  <c r="E30" i="96"/>
  <c r="H10" i="96"/>
  <c r="B39" i="88" a="1"/>
  <c r="H40" i="88" s="1"/>
  <c r="L24" i="88" a="1"/>
  <c r="B39" i="84" a="1"/>
  <c r="L24" i="84" a="1"/>
  <c r="E31" i="1" a="1"/>
  <c r="J51" i="1" a="1"/>
  <c r="E30" i="1" a="1"/>
  <c r="I51" i="1" a="1"/>
  <c r="E24" i="1" a="1"/>
  <c r="E51" i="1" a="1"/>
  <c r="L51" i="1" a="1"/>
  <c r="E29" i="1" a="1"/>
  <c r="G51" i="1" a="1"/>
  <c r="M51" i="1" a="1"/>
  <c r="E28" i="1" a="1"/>
  <c r="E33" i="1" a="1"/>
  <c r="D51" i="1" a="1"/>
  <c r="E25" i="1" a="1"/>
  <c r="E32" i="1" a="1"/>
  <c r="H51" i="1" a="1"/>
  <c r="E26" i="1" a="1"/>
  <c r="E34" i="1" a="1"/>
  <c r="C51" i="1" a="1"/>
  <c r="E27" i="1" a="1"/>
  <c r="F51" i="1" a="1"/>
  <c r="E23" i="1" a="1"/>
  <c r="K51" i="1" a="1"/>
  <c r="N51" i="1" a="1"/>
  <c r="C56" i="1" a="1"/>
  <c r="H41" i="100" l="1"/>
  <c r="H40" i="100"/>
  <c r="F42" i="100"/>
  <c r="P28" i="99"/>
  <c r="Q28" i="99" s="1"/>
  <c r="P31" i="99"/>
  <c r="Q31" i="99" s="1"/>
  <c r="P26" i="99"/>
  <c r="Q26" i="99" s="1"/>
  <c r="P30" i="99"/>
  <c r="Q30" i="99" s="1"/>
  <c r="P27" i="99"/>
  <c r="Q27" i="99" s="1"/>
  <c r="P32" i="99"/>
  <c r="Q32" i="99" s="1"/>
  <c r="P29" i="99"/>
  <c r="Q29" i="99" s="1"/>
  <c r="P32" i="98"/>
  <c r="Q32" i="98" s="1"/>
  <c r="P29" i="98"/>
  <c r="Q29" i="98" s="1"/>
  <c r="P34" i="98"/>
  <c r="Q34" i="98" s="1"/>
  <c r="P30" i="98"/>
  <c r="Q30" i="98" s="1"/>
  <c r="P31" i="98"/>
  <c r="Q31" i="98" s="1"/>
  <c r="P33" i="98"/>
  <c r="Q33" i="98" s="1"/>
  <c r="P30" i="94"/>
  <c r="Q30" i="94" s="1"/>
  <c r="P32" i="94"/>
  <c r="Q32" i="94" s="1"/>
  <c r="P31" i="94"/>
  <c r="Q31" i="94" s="1"/>
  <c r="P29" i="94"/>
  <c r="Q29" i="94" s="1"/>
  <c r="P28" i="94"/>
  <c r="Q28" i="94" s="1"/>
  <c r="P27" i="94"/>
  <c r="Q27" i="94" s="1"/>
  <c r="H41" i="99"/>
  <c r="H40" i="99"/>
  <c r="B39" i="99"/>
  <c r="H39" i="99"/>
  <c r="E92" i="99"/>
  <c r="P36" i="95"/>
  <c r="Q36" i="95" s="1"/>
  <c r="P35" i="95"/>
  <c r="Q35" i="95" s="1"/>
  <c r="P26" i="95"/>
  <c r="Q26" i="95" s="1"/>
  <c r="P25" i="95"/>
  <c r="Q25" i="95" s="1"/>
  <c r="P38" i="95"/>
  <c r="Q38" i="95" s="1"/>
  <c r="P33" i="95"/>
  <c r="Q33" i="95" s="1"/>
  <c r="P27" i="95"/>
  <c r="Q27" i="95" s="1"/>
  <c r="P34" i="95"/>
  <c r="Q34" i="95" s="1"/>
  <c r="P37" i="95"/>
  <c r="Q37" i="95" s="1"/>
  <c r="P24" i="95"/>
  <c r="L24" i="95"/>
  <c r="P28" i="95"/>
  <c r="Q28" i="95" s="1"/>
  <c r="P32" i="95"/>
  <c r="Q32" i="95" s="1"/>
  <c r="P31" i="95"/>
  <c r="Q31" i="95" s="1"/>
  <c r="O92" i="95"/>
  <c r="G25" i="95" s="1"/>
  <c r="H6" i="95" s="1"/>
  <c r="P29" i="95"/>
  <c r="Q29" i="95" s="1"/>
  <c r="P30" i="95"/>
  <c r="Q30" i="95" s="1"/>
  <c r="B39" i="103"/>
  <c r="F43" i="103"/>
  <c r="H43" i="103" s="1"/>
  <c r="H40" i="103"/>
  <c r="E92" i="103"/>
  <c r="G24" i="103" s="1"/>
  <c r="H41" i="103"/>
  <c r="F42" i="103"/>
  <c r="H39" i="103"/>
  <c r="B39" i="100"/>
  <c r="E92" i="100"/>
  <c r="H39" i="100"/>
  <c r="P32" i="97"/>
  <c r="Q32" i="97" s="1"/>
  <c r="P30" i="97"/>
  <c r="Q30" i="97" s="1"/>
  <c r="P27" i="97"/>
  <c r="Q27" i="97" s="1"/>
  <c r="P26" i="97"/>
  <c r="Q26" i="97" s="1"/>
  <c r="P29" i="97"/>
  <c r="Q29" i="97" s="1"/>
  <c r="P28" i="97"/>
  <c r="Q28" i="97" s="1"/>
  <c r="P31" i="97"/>
  <c r="Q31" i="97" s="1"/>
  <c r="P25" i="97"/>
  <c r="Q25" i="97" s="1"/>
  <c r="L24" i="97"/>
  <c r="O92" i="97"/>
  <c r="G25" i="97" s="1"/>
  <c r="P24" i="97"/>
  <c r="L24" i="99"/>
  <c r="P25" i="99"/>
  <c r="Q25" i="99" s="1"/>
  <c r="O92" i="99"/>
  <c r="G25" i="99" s="1"/>
  <c r="P24" i="99"/>
  <c r="H40" i="97"/>
  <c r="F42" i="97"/>
  <c r="B39" i="97"/>
  <c r="H41" i="97"/>
  <c r="H39" i="97"/>
  <c r="E92" i="97"/>
  <c r="G24" i="97" s="1"/>
  <c r="B39" i="95"/>
  <c r="E92" i="95"/>
  <c r="H39" i="95"/>
  <c r="L24" i="103"/>
  <c r="P25" i="103"/>
  <c r="Q25" i="103" s="1"/>
  <c r="P29" i="103"/>
  <c r="Q29" i="103" s="1"/>
  <c r="P24" i="103"/>
  <c r="P27" i="103"/>
  <c r="Q27" i="103" s="1"/>
  <c r="P28" i="103"/>
  <c r="Q28" i="103" s="1"/>
  <c r="P30" i="103"/>
  <c r="Q30" i="103" s="1"/>
  <c r="P26" i="103"/>
  <c r="Q26" i="103" s="1"/>
  <c r="O92" i="103"/>
  <c r="G25" i="103" s="1"/>
  <c r="L24" i="100"/>
  <c r="P24" i="100"/>
  <c r="P32" i="100"/>
  <c r="Q32" i="100" s="1"/>
  <c r="O92" i="100"/>
  <c r="G25" i="100" s="1"/>
  <c r="P28" i="100"/>
  <c r="Q28" i="100" s="1"/>
  <c r="P25" i="100"/>
  <c r="Q25" i="100" s="1"/>
  <c r="P26" i="100"/>
  <c r="Q26" i="100" s="1"/>
  <c r="P30" i="100"/>
  <c r="Q30" i="100" s="1"/>
  <c r="P31" i="100"/>
  <c r="Q31" i="100" s="1"/>
  <c r="P27" i="100"/>
  <c r="Q27" i="100" s="1"/>
  <c r="P29" i="100"/>
  <c r="Q29" i="100" s="1"/>
  <c r="P33" i="100"/>
  <c r="Q33" i="100" s="1"/>
  <c r="E92" i="102"/>
  <c r="G24" i="102" s="1"/>
  <c r="B6" i="102" s="1"/>
  <c r="F42" i="102"/>
  <c r="B39" i="102"/>
  <c r="F43" i="102"/>
  <c r="H43" i="102" s="1"/>
  <c r="H40" i="102"/>
  <c r="H39" i="102"/>
  <c r="H41" i="102"/>
  <c r="E92" i="98"/>
  <c r="H39" i="98"/>
  <c r="B39" i="98"/>
  <c r="L24" i="101"/>
  <c r="P25" i="101"/>
  <c r="Q25" i="101" s="1"/>
  <c r="P30" i="101"/>
  <c r="Q30" i="101" s="1"/>
  <c r="P26" i="101"/>
  <c r="Q26" i="101" s="1"/>
  <c r="P29" i="101"/>
  <c r="Q29" i="101" s="1"/>
  <c r="P27" i="101"/>
  <c r="Q27" i="101" s="1"/>
  <c r="P28" i="101"/>
  <c r="Q28" i="101" s="1"/>
  <c r="P24" i="101"/>
  <c r="O92" i="101"/>
  <c r="G25" i="101" s="1"/>
  <c r="H41" i="94"/>
  <c r="E92" i="94"/>
  <c r="H39" i="94"/>
  <c r="B39" i="94"/>
  <c r="H40" i="94"/>
  <c r="L24" i="96"/>
  <c r="P24" i="96"/>
  <c r="P28" i="96"/>
  <c r="Q28" i="96" s="1"/>
  <c r="P29" i="96"/>
  <c r="Q29" i="96" s="1"/>
  <c r="P25" i="96"/>
  <c r="Q25" i="96" s="1"/>
  <c r="P27" i="96"/>
  <c r="Q27" i="96" s="1"/>
  <c r="P30" i="96"/>
  <c r="Q30" i="96" s="1"/>
  <c r="O92" i="96"/>
  <c r="G25" i="96" s="1"/>
  <c r="P26" i="96"/>
  <c r="Q26" i="96" s="1"/>
  <c r="L24" i="102"/>
  <c r="P26" i="102"/>
  <c r="Q26" i="102" s="1"/>
  <c r="P34" i="102"/>
  <c r="Q34" i="102" s="1"/>
  <c r="P33" i="102"/>
  <c r="Q33" i="102" s="1"/>
  <c r="P27" i="102"/>
  <c r="Q27" i="102" s="1"/>
  <c r="P25" i="102"/>
  <c r="Q25" i="102" s="1"/>
  <c r="P24" i="102"/>
  <c r="P35" i="102"/>
  <c r="Q35" i="102" s="1"/>
  <c r="P30" i="102"/>
  <c r="Q30" i="102" s="1"/>
  <c r="P28" i="102"/>
  <c r="Q28" i="102" s="1"/>
  <c r="P29" i="102"/>
  <c r="Q29" i="102" s="1"/>
  <c r="P32" i="102"/>
  <c r="Q32" i="102" s="1"/>
  <c r="O92" i="102"/>
  <c r="G25" i="102" s="1"/>
  <c r="P31" i="102"/>
  <c r="Q31" i="102" s="1"/>
  <c r="L24" i="98"/>
  <c r="P27" i="98"/>
  <c r="Q27" i="98" s="1"/>
  <c r="O92" i="98"/>
  <c r="G25" i="98" s="1"/>
  <c r="P24" i="98"/>
  <c r="P25" i="98"/>
  <c r="Q25" i="98" s="1"/>
  <c r="P26" i="98"/>
  <c r="Q26" i="98" s="1"/>
  <c r="P28" i="98"/>
  <c r="Q28" i="98" s="1"/>
  <c r="H41" i="101"/>
  <c r="H40" i="101"/>
  <c r="H39" i="101"/>
  <c r="E92" i="101"/>
  <c r="B39" i="101"/>
  <c r="P25" i="94"/>
  <c r="Q25" i="94" s="1"/>
  <c r="P26" i="94"/>
  <c r="Q26" i="94" s="1"/>
  <c r="O92" i="94"/>
  <c r="G25" i="94" s="1"/>
  <c r="H25" i="94" s="1"/>
  <c r="P24" i="94"/>
  <c r="L24" i="94"/>
  <c r="B39" i="96"/>
  <c r="H40" i="96"/>
  <c r="E92" i="96"/>
  <c r="H39" i="96"/>
  <c r="P63" i="84"/>
  <c r="Q63" i="84" s="1"/>
  <c r="P55" i="84"/>
  <c r="Q55" i="84" s="1"/>
  <c r="P47" i="84"/>
  <c r="Q47" i="84" s="1"/>
  <c r="P38" i="84"/>
  <c r="Q38" i="84" s="1"/>
  <c r="P32" i="84"/>
  <c r="Q32" i="84" s="1"/>
  <c r="P29" i="84"/>
  <c r="Q29" i="84" s="1"/>
  <c r="P69" i="84"/>
  <c r="Q69" i="84" s="1"/>
  <c r="P66" i="84"/>
  <c r="Q66" i="84" s="1"/>
  <c r="P64" i="84"/>
  <c r="Q64" i="84" s="1"/>
  <c r="P61" i="84"/>
  <c r="Q61" i="84" s="1"/>
  <c r="P58" i="84"/>
  <c r="Q58" i="84" s="1"/>
  <c r="P56" i="84"/>
  <c r="Q56" i="84" s="1"/>
  <c r="P53" i="84"/>
  <c r="Q53" i="84" s="1"/>
  <c r="P50" i="84"/>
  <c r="Q50" i="84" s="1"/>
  <c r="P48" i="84"/>
  <c r="Q48" i="84" s="1"/>
  <c r="P45" i="84"/>
  <c r="Q45" i="84" s="1"/>
  <c r="P42" i="84"/>
  <c r="Q42" i="84" s="1"/>
  <c r="P40" i="84"/>
  <c r="Q40" i="84" s="1"/>
  <c r="P37" i="84"/>
  <c r="Q37" i="84" s="1"/>
  <c r="P34" i="84"/>
  <c r="Q34" i="84" s="1"/>
  <c r="P31" i="84"/>
  <c r="Q31" i="84" s="1"/>
  <c r="P67" i="84"/>
  <c r="Q67" i="84" s="1"/>
  <c r="P59" i="84"/>
  <c r="Q59" i="84" s="1"/>
  <c r="P51" i="84"/>
  <c r="Q51" i="84" s="1"/>
  <c r="P43" i="84"/>
  <c r="Q43" i="84" s="1"/>
  <c r="P39" i="84"/>
  <c r="Q39" i="84" s="1"/>
  <c r="P36" i="84"/>
  <c r="Q36" i="84" s="1"/>
  <c r="P33" i="84"/>
  <c r="Q33" i="84" s="1"/>
  <c r="P30" i="84"/>
  <c r="Q30" i="84" s="1"/>
  <c r="P35" i="84"/>
  <c r="Q35" i="84" s="1"/>
  <c r="P44" i="84"/>
  <c r="Q44" i="84" s="1"/>
  <c r="P68" i="84"/>
  <c r="Q68" i="84" s="1"/>
  <c r="P65" i="84"/>
  <c r="Q65" i="84" s="1"/>
  <c r="P60" i="84"/>
  <c r="Q60" i="84" s="1"/>
  <c r="P57" i="84"/>
  <c r="Q57" i="84" s="1"/>
  <c r="P52" i="84"/>
  <c r="Q52" i="84" s="1"/>
  <c r="P49" i="84"/>
  <c r="Q49" i="84" s="1"/>
  <c r="P41" i="84"/>
  <c r="Q41" i="84" s="1"/>
  <c r="P62" i="84"/>
  <c r="Q62" i="84" s="1"/>
  <c r="P54" i="84"/>
  <c r="Q54" i="84" s="1"/>
  <c r="P46" i="84"/>
  <c r="Q46" i="84" s="1"/>
  <c r="L24" i="88"/>
  <c r="P40" i="88"/>
  <c r="Q40" i="88" s="1"/>
  <c r="P36" i="88"/>
  <c r="Q36" i="88" s="1"/>
  <c r="P31" i="88"/>
  <c r="Q31" i="88" s="1"/>
  <c r="P28" i="88"/>
  <c r="Q28" i="88" s="1"/>
  <c r="P38" i="88"/>
  <c r="Q38" i="88" s="1"/>
  <c r="P33" i="88"/>
  <c r="Q33" i="88" s="1"/>
  <c r="P30" i="88"/>
  <c r="Q30" i="88" s="1"/>
  <c r="O92" i="88"/>
  <c r="P64" i="88"/>
  <c r="Q64" i="88" s="1"/>
  <c r="P60" i="88"/>
  <c r="Q60" i="88" s="1"/>
  <c r="P56" i="88"/>
  <c r="Q56" i="88" s="1"/>
  <c r="P52" i="88"/>
  <c r="Q52" i="88" s="1"/>
  <c r="P48" i="88"/>
  <c r="Q48" i="88" s="1"/>
  <c r="P44" i="88"/>
  <c r="Q44" i="88" s="1"/>
  <c r="P37" i="88"/>
  <c r="Q37" i="88" s="1"/>
  <c r="P26" i="88"/>
  <c r="Q26" i="88" s="1"/>
  <c r="P24" i="88"/>
  <c r="P65" i="88"/>
  <c r="Q65" i="88" s="1"/>
  <c r="P61" i="88"/>
  <c r="Q61" i="88" s="1"/>
  <c r="P57" i="88"/>
  <c r="Q57" i="88" s="1"/>
  <c r="P53" i="88"/>
  <c r="Q53" i="88" s="1"/>
  <c r="P49" i="88"/>
  <c r="Q49" i="88" s="1"/>
  <c r="P45" i="88"/>
  <c r="Q45" i="88" s="1"/>
  <c r="P41" i="88"/>
  <c r="Q41" i="88" s="1"/>
  <c r="P39" i="88"/>
  <c r="Q39" i="88" s="1"/>
  <c r="P35" i="88"/>
  <c r="Q35" i="88" s="1"/>
  <c r="P25" i="88"/>
  <c r="Q25" i="88" s="1"/>
  <c r="P62" i="88"/>
  <c r="Q62" i="88" s="1"/>
  <c r="P58" i="88"/>
  <c r="Q58" i="88" s="1"/>
  <c r="P54" i="88"/>
  <c r="Q54" i="88" s="1"/>
  <c r="P50" i="88"/>
  <c r="Q50" i="88" s="1"/>
  <c r="P46" i="88"/>
  <c r="Q46" i="88" s="1"/>
  <c r="P42" i="88"/>
  <c r="Q42" i="88" s="1"/>
  <c r="P34" i="88"/>
  <c r="Q34" i="88" s="1"/>
  <c r="P29" i="88"/>
  <c r="Q29" i="88" s="1"/>
  <c r="P59" i="88"/>
  <c r="Q59" i="88" s="1"/>
  <c r="P43" i="88"/>
  <c r="Q43" i="88" s="1"/>
  <c r="P47" i="88"/>
  <c r="Q47" i="88" s="1"/>
  <c r="P55" i="88"/>
  <c r="Q55" i="88" s="1"/>
  <c r="P32" i="88"/>
  <c r="Q32" i="88" s="1"/>
  <c r="P63" i="88"/>
  <c r="Q63" i="88" s="1"/>
  <c r="P51" i="88"/>
  <c r="Q51" i="88" s="1"/>
  <c r="P27" i="88"/>
  <c r="Q27" i="88" s="1"/>
  <c r="B39" i="88"/>
  <c r="E92" i="88"/>
  <c r="H39" i="88"/>
  <c r="P26" i="84"/>
  <c r="Q26" i="84" s="1"/>
  <c r="O92" i="84"/>
  <c r="G25" i="84" s="1"/>
  <c r="H6" i="84" s="1"/>
  <c r="P28" i="84"/>
  <c r="Q28" i="84" s="1"/>
  <c r="P25" i="84"/>
  <c r="Q25" i="84" s="1"/>
  <c r="P24" i="84"/>
  <c r="L24" i="84"/>
  <c r="P27" i="84"/>
  <c r="Q27" i="84" s="1"/>
  <c r="B39" i="84"/>
  <c r="H39" i="84"/>
  <c r="H40" i="84"/>
  <c r="E92" i="84"/>
  <c r="E33" i="1"/>
  <c r="E27" i="1"/>
  <c r="E34" i="1"/>
  <c r="E31" i="1"/>
  <c r="E29" i="1"/>
  <c r="E25" i="1"/>
  <c r="E32" i="1"/>
  <c r="E30" i="1"/>
  <c r="E28" i="1"/>
  <c r="E26" i="1"/>
  <c r="E24" i="1"/>
  <c r="E23" i="1"/>
  <c r="G51" i="1"/>
  <c r="M51" i="1"/>
  <c r="F51" i="1"/>
  <c r="K51" i="1"/>
  <c r="N51" i="1"/>
  <c r="D51" i="1"/>
  <c r="L51" i="1"/>
  <c r="H51" i="1"/>
  <c r="E51" i="1"/>
  <c r="C51" i="1"/>
  <c r="I51" i="1"/>
  <c r="J51" i="1"/>
  <c r="C56" i="1"/>
  <c r="C23" i="1" a="1"/>
  <c r="H42" i="100" l="1"/>
  <c r="F92" i="100"/>
  <c r="E24" i="100" s="1"/>
  <c r="H25" i="95"/>
  <c r="H6" i="94"/>
  <c r="P92" i="94"/>
  <c r="Q92" i="94" s="1"/>
  <c r="Q24" i="94"/>
  <c r="Q24" i="98"/>
  <c r="P92" i="98"/>
  <c r="Q92" i="98" s="1"/>
  <c r="H6" i="101"/>
  <c r="H25" i="101"/>
  <c r="H42" i="103"/>
  <c r="F92" i="103"/>
  <c r="H6" i="102"/>
  <c r="H25" i="102"/>
  <c r="Q24" i="101"/>
  <c r="P92" i="101"/>
  <c r="Q92" i="101" s="1"/>
  <c r="H42" i="102"/>
  <c r="F92" i="102"/>
  <c r="G24" i="95"/>
  <c r="H92" i="95"/>
  <c r="P92" i="97"/>
  <c r="Q92" i="97" s="1"/>
  <c r="Q24" i="97"/>
  <c r="G24" i="94"/>
  <c r="H92" i="94"/>
  <c r="H25" i="99"/>
  <c r="H6" i="99"/>
  <c r="H6" i="97"/>
  <c r="H25" i="97"/>
  <c r="B6" i="103"/>
  <c r="G30" i="103"/>
  <c r="H14" i="103" s="1"/>
  <c r="G24" i="96"/>
  <c r="H92" i="96"/>
  <c r="Q24" i="103"/>
  <c r="P92" i="103"/>
  <c r="Q92" i="103" s="1"/>
  <c r="G24" i="101"/>
  <c r="H92" i="101"/>
  <c r="H25" i="98"/>
  <c r="H6" i="98"/>
  <c r="Q24" i="96"/>
  <c r="P92" i="96"/>
  <c r="Q92" i="96" s="1"/>
  <c r="Q24" i="100"/>
  <c r="P92" i="100"/>
  <c r="Q92" i="100" s="1"/>
  <c r="Q24" i="99"/>
  <c r="P92" i="99"/>
  <c r="Q92" i="99" s="1"/>
  <c r="G24" i="100"/>
  <c r="Q24" i="95"/>
  <c r="P92" i="95"/>
  <c r="Q92" i="95" s="1"/>
  <c r="G30" i="102"/>
  <c r="H14" i="102" s="1"/>
  <c r="Q24" i="102"/>
  <c r="P92" i="102"/>
  <c r="Q92" i="102" s="1"/>
  <c r="H25" i="96"/>
  <c r="H6" i="96"/>
  <c r="G24" i="98"/>
  <c r="H92" i="98"/>
  <c r="H25" i="100"/>
  <c r="H6" i="100"/>
  <c r="H25" i="103"/>
  <c r="H6" i="103"/>
  <c r="G30" i="97"/>
  <c r="H14" i="97" s="1"/>
  <c r="B6" i="97"/>
  <c r="H42" i="97"/>
  <c r="F92" i="97"/>
  <c r="G24" i="99"/>
  <c r="H92" i="99"/>
  <c r="H25" i="84"/>
  <c r="G25" i="88"/>
  <c r="P92" i="88"/>
  <c r="Q92" i="88" s="1"/>
  <c r="Q24" i="88"/>
  <c r="G24" i="88"/>
  <c r="H92" i="88"/>
  <c r="P92" i="84"/>
  <c r="Q92" i="84" s="1"/>
  <c r="Q24" i="84"/>
  <c r="H92" i="84"/>
  <c r="G24" i="84"/>
  <c r="G30" i="84" s="1"/>
  <c r="H14" i="84" s="1"/>
  <c r="C23" i="1"/>
  <c r="E43" i="1" a="1"/>
  <c r="G61" i="16" a="1"/>
  <c r="G43" i="1" a="1"/>
  <c r="F43" i="1" a="1"/>
  <c r="C10" i="1" a="1"/>
  <c r="C11" i="1" a="1"/>
  <c r="E61" i="16" a="1"/>
  <c r="C9" i="1" a="1"/>
  <c r="H92" i="100" l="1"/>
  <c r="E30" i="100"/>
  <c r="H10" i="100"/>
  <c r="G30" i="99"/>
  <c r="H14" i="99" s="1"/>
  <c r="H24" i="99"/>
  <c r="H30" i="99" s="1"/>
  <c r="B6" i="99"/>
  <c r="H92" i="103"/>
  <c r="E24" i="103"/>
  <c r="E24" i="97"/>
  <c r="H92" i="97"/>
  <c r="B6" i="96"/>
  <c r="H24" i="96"/>
  <c r="H30" i="96" s="1"/>
  <c r="G30" i="96"/>
  <c r="H14" i="96" s="1"/>
  <c r="G30" i="94"/>
  <c r="H14" i="94" s="1"/>
  <c r="B6" i="94"/>
  <c r="H24" i="94"/>
  <c r="H30" i="94" s="1"/>
  <c r="G30" i="98"/>
  <c r="H14" i="98" s="1"/>
  <c r="B6" i="98"/>
  <c r="H24" i="98"/>
  <c r="H30" i="98" s="1"/>
  <c r="B6" i="100"/>
  <c r="H24" i="100"/>
  <c r="H30" i="100" s="1"/>
  <c r="G30" i="100"/>
  <c r="H14" i="100" s="1"/>
  <c r="E24" i="102"/>
  <c r="H92" i="102"/>
  <c r="H24" i="101"/>
  <c r="H30" i="101" s="1"/>
  <c r="G30" i="101"/>
  <c r="H14" i="101" s="1"/>
  <c r="B6" i="101"/>
  <c r="G30" i="95"/>
  <c r="H14" i="95" s="1"/>
  <c r="H24" i="95"/>
  <c r="H30" i="95" s="1"/>
  <c r="B6" i="95"/>
  <c r="E43" i="1"/>
  <c r="C9" i="1"/>
  <c r="C10" i="1"/>
  <c r="F43" i="1"/>
  <c r="C11" i="1"/>
  <c r="G43" i="1"/>
  <c r="H6" i="88"/>
  <c r="H25" i="88"/>
  <c r="B6" i="88"/>
  <c r="H24" i="88"/>
  <c r="G30" i="88"/>
  <c r="H14" i="88" s="1"/>
  <c r="B6" i="84"/>
  <c r="B14" i="84" s="1"/>
  <c r="H24" i="84"/>
  <c r="H30" i="84" s="1"/>
  <c r="G61" i="16"/>
  <c r="E61" i="16"/>
  <c r="C18" i="1" a="1"/>
  <c r="C16" i="1" a="1"/>
  <c r="C15" i="1" a="1"/>
  <c r="C8" i="1" a="1"/>
  <c r="M43" i="1" a="1"/>
  <c r="C17" i="1" a="1"/>
  <c r="J43" i="1" a="1"/>
  <c r="K44" i="1" a="1"/>
  <c r="H23" i="1" a="1"/>
  <c r="C14" i="1" a="1"/>
  <c r="D61" i="16" a="1"/>
  <c r="K43" i="1" a="1"/>
  <c r="C12" i="1" a="1"/>
  <c r="D18" i="1" a="1"/>
  <c r="N43" i="1" a="1"/>
  <c r="C43" i="1" a="1"/>
  <c r="C13" i="1" a="1"/>
  <c r="I43" i="1" a="1"/>
  <c r="D43" i="1" a="1"/>
  <c r="L43" i="1" a="1"/>
  <c r="H43" i="1" a="1"/>
  <c r="C7" i="1" a="1"/>
  <c r="N44" i="1" a="1"/>
  <c r="D15" i="1" a="1"/>
  <c r="H24" i="102" l="1"/>
  <c r="H30" i="102" s="1"/>
  <c r="E30" i="102"/>
  <c r="H10" i="102"/>
  <c r="E30" i="97"/>
  <c r="H24" i="97"/>
  <c r="H30" i="97" s="1"/>
  <c r="H10" i="97"/>
  <c r="H24" i="103"/>
  <c r="H30" i="103" s="1"/>
  <c r="E30" i="103"/>
  <c r="H10" i="103"/>
  <c r="L6" i="88"/>
  <c r="L14" i="88" s="1"/>
  <c r="H30" i="88"/>
  <c r="N44" i="1"/>
  <c r="K44" i="1"/>
  <c r="D43" i="1"/>
  <c r="H43" i="1"/>
  <c r="I43" i="1"/>
  <c r="J43" i="1"/>
  <c r="K43" i="1"/>
  <c r="M43" i="1"/>
  <c r="L43" i="1"/>
  <c r="N43" i="1"/>
  <c r="C43" i="1"/>
  <c r="D15" i="1"/>
  <c r="D18" i="1"/>
  <c r="C16" i="1"/>
  <c r="C8" i="1"/>
  <c r="C18" i="1"/>
  <c r="C13" i="1"/>
  <c r="C12" i="1"/>
  <c r="C17" i="1"/>
  <c r="C15" i="1"/>
  <c r="C14" i="1"/>
  <c r="C7" i="1"/>
  <c r="H23" i="1"/>
  <c r="D61" i="16"/>
  <c r="M61" i="16" a="1"/>
  <c r="D8" i="1" a="1"/>
  <c r="L44" i="1" a="1"/>
  <c r="D11" i="1" a="1"/>
  <c r="D17" i="1" a="1"/>
  <c r="E41" i="16" a="1"/>
  <c r="E44" i="1" a="1"/>
  <c r="H44" i="1" a="1"/>
  <c r="D12" i="1" a="1"/>
  <c r="D7" i="1" a="1"/>
  <c r="C61" i="16" a="1"/>
  <c r="D44" i="1" a="1"/>
  <c r="C65" i="16" a="1"/>
  <c r="F41" i="16" a="1"/>
  <c r="D9" i="1" a="1"/>
  <c r="D13" i="1" a="1"/>
  <c r="F61" i="16" a="1"/>
  <c r="G41" i="16" a="1"/>
  <c r="G44" i="1" a="1"/>
  <c r="L61" i="16" a="1"/>
  <c r="H41" i="16" a="1"/>
  <c r="J41" i="16" a="1"/>
  <c r="I41" i="16" a="1"/>
  <c r="D10" i="1" a="1"/>
  <c r="K61" i="16" a="1"/>
  <c r="N61" i="16" a="1"/>
  <c r="D14" i="1" a="1"/>
  <c r="F44" i="1" a="1"/>
  <c r="I61" i="16" a="1"/>
  <c r="J44" i="1" a="1"/>
  <c r="J61" i="16" a="1"/>
  <c r="C44" i="1" a="1"/>
  <c r="M44" i="1" a="1"/>
  <c r="D16" i="1" a="1"/>
  <c r="N42" i="16" a="1"/>
  <c r="H61" i="16" a="1"/>
  <c r="I44" i="1" a="1"/>
  <c r="B14" i="88" l="1"/>
  <c r="L6" i="95" s="1"/>
  <c r="L14" i="95" s="1"/>
  <c r="B10" i="88"/>
  <c r="E15" i="1"/>
  <c r="E18" i="1"/>
  <c r="M44" i="1"/>
  <c r="L44" i="1"/>
  <c r="J44" i="1"/>
  <c r="I44" i="1"/>
  <c r="H44" i="1"/>
  <c r="G44" i="1"/>
  <c r="F44" i="1"/>
  <c r="E44" i="1"/>
  <c r="D44" i="1"/>
  <c r="C44" i="1"/>
  <c r="D16" i="1"/>
  <c r="E16" i="1" s="1"/>
  <c r="D10" i="1"/>
  <c r="E10" i="1" s="1"/>
  <c r="D13" i="1"/>
  <c r="E13" i="1" s="1"/>
  <c r="D17" i="1"/>
  <c r="E17" i="1" s="1"/>
  <c r="D8" i="1"/>
  <c r="E8" i="1" s="1"/>
  <c r="D14" i="1"/>
  <c r="E14" i="1" s="1"/>
  <c r="D12" i="1"/>
  <c r="E12" i="1" s="1"/>
  <c r="D9" i="1"/>
  <c r="E9" i="1" s="1"/>
  <c r="D11" i="1"/>
  <c r="E11" i="1" s="1"/>
  <c r="D7" i="1"/>
  <c r="E7" i="1" s="1"/>
  <c r="M61" i="16"/>
  <c r="K61" i="16"/>
  <c r="I61" i="16"/>
  <c r="N61" i="16"/>
  <c r="L61" i="16"/>
  <c r="J61" i="16"/>
  <c r="H61" i="16"/>
  <c r="F61" i="16"/>
  <c r="C61" i="16"/>
  <c r="C51" i="16" s="1"/>
  <c r="C65" i="16"/>
  <c r="H41" i="16"/>
  <c r="N42" i="16"/>
  <c r="F41" i="16"/>
  <c r="J41" i="16"/>
  <c r="E41" i="16"/>
  <c r="G41" i="16"/>
  <c r="I41" i="16"/>
  <c r="F42" i="16" a="1"/>
  <c r="K41" i="16" a="1"/>
  <c r="L42" i="16" a="1"/>
  <c r="G42" i="16" a="1"/>
  <c r="I42" i="16" a="1"/>
  <c r="N41" i="16" a="1"/>
  <c r="D41" i="16" a="1"/>
  <c r="J23" i="1" a="1"/>
  <c r="H42" i="16" a="1"/>
  <c r="E42" i="16" a="1"/>
  <c r="M42" i="16" a="1"/>
  <c r="M41" i="16" a="1"/>
  <c r="D42" i="16" a="1"/>
  <c r="L41" i="16" a="1"/>
  <c r="J42" i="16" a="1"/>
  <c r="B10" i="95" l="1"/>
  <c r="B14" i="95"/>
  <c r="L6" i="96" s="1"/>
  <c r="M11" i="19"/>
  <c r="M7" i="19"/>
  <c r="E35" i="1"/>
  <c r="J23" i="1"/>
  <c r="I42" i="16"/>
  <c r="F42" i="16"/>
  <c r="J42" i="16"/>
  <c r="E42" i="16"/>
  <c r="G42" i="16"/>
  <c r="D42" i="16"/>
  <c r="H42" i="16"/>
  <c r="M42" i="16"/>
  <c r="L42" i="16"/>
  <c r="D51" i="16"/>
  <c r="E22" i="16"/>
  <c r="F31" i="16"/>
  <c r="F51" i="16"/>
  <c r="E24" i="16"/>
  <c r="C31" i="16"/>
  <c r="E21" i="16"/>
  <c r="D31" i="16"/>
  <c r="C6" i="16"/>
  <c r="D14" i="16"/>
  <c r="D41" i="16"/>
  <c r="L41" i="16"/>
  <c r="M41" i="16"/>
  <c r="N41" i="16"/>
  <c r="K41" i="16"/>
  <c r="O51" i="1"/>
  <c r="D29" i="1" a="1"/>
  <c r="M59" i="16" a="1"/>
  <c r="E59" i="16" a="1"/>
  <c r="H60" i="16" a="1"/>
  <c r="G50" i="1" a="1"/>
  <c r="D60" i="16" a="1"/>
  <c r="E49" i="1" a="1"/>
  <c r="I50" i="1" a="1"/>
  <c r="L59" i="16" a="1"/>
  <c r="H50" i="1" a="1"/>
  <c r="G60" i="16" a="1"/>
  <c r="D27" i="1" a="1"/>
  <c r="D24" i="1" a="1"/>
  <c r="C33" i="1" a="1"/>
  <c r="C25" i="1" a="1"/>
  <c r="C32" i="1" a="1"/>
  <c r="I60" i="16" a="1"/>
  <c r="M49" i="1" a="1"/>
  <c r="D50" i="1" a="1"/>
  <c r="L49" i="1" a="1"/>
  <c r="D28" i="1" a="1"/>
  <c r="L14" i="96" l="1"/>
  <c r="B10" i="96"/>
  <c r="B14" i="96"/>
  <c r="L6" i="97" s="1"/>
  <c r="G28" i="19"/>
  <c r="E43" i="16"/>
  <c r="G43" i="16"/>
  <c r="D6" i="16"/>
  <c r="H43" i="16"/>
  <c r="D15" i="16"/>
  <c r="F15" i="16"/>
  <c r="D8" i="16"/>
  <c r="C33" i="1"/>
  <c r="C32" i="1"/>
  <c r="D29" i="1"/>
  <c r="D28" i="1"/>
  <c r="D27" i="1"/>
  <c r="C25" i="1"/>
  <c r="D24" i="1"/>
  <c r="C19" i="1"/>
  <c r="C7" i="16"/>
  <c r="C8" i="16"/>
  <c r="J43" i="16"/>
  <c r="D43" i="16"/>
  <c r="G60" i="16"/>
  <c r="E59" i="16"/>
  <c r="D60" i="16"/>
  <c r="L59" i="16"/>
  <c r="L49" i="1"/>
  <c r="M49" i="1"/>
  <c r="M59" i="16"/>
  <c r="F14" i="16"/>
  <c r="M43" i="16"/>
  <c r="N43" i="16"/>
  <c r="I60" i="16"/>
  <c r="H60" i="16"/>
  <c r="E49" i="1"/>
  <c r="L43" i="16"/>
  <c r="I43" i="16"/>
  <c r="I50" i="1"/>
  <c r="H50" i="1"/>
  <c r="D50" i="1"/>
  <c r="G50" i="1"/>
  <c r="F43" i="16"/>
  <c r="J49" i="1" a="1"/>
  <c r="H49" i="1" a="1"/>
  <c r="D26" i="1" a="1"/>
  <c r="C28" i="1" a="1"/>
  <c r="C27" i="1" a="1"/>
  <c r="I59" i="16" a="1"/>
  <c r="E50" i="1" a="1"/>
  <c r="I49" i="1" a="1"/>
  <c r="D33" i="1" a="1"/>
  <c r="F50" i="1" a="1"/>
  <c r="D49" i="1" a="1"/>
  <c r="C29" i="1" a="1"/>
  <c r="C34" i="1" a="1"/>
  <c r="G59" i="16" a="1"/>
  <c r="D30" i="1" a="1"/>
  <c r="C24" i="1" a="1"/>
  <c r="J60" i="16" a="1"/>
  <c r="N59" i="16" a="1"/>
  <c r="E60" i="16" a="1"/>
  <c r="F49" i="1" a="1"/>
  <c r="G49" i="1" a="1"/>
  <c r="D25" i="1" a="1"/>
  <c r="N49" i="1" a="1"/>
  <c r="C26" i="1" a="1"/>
  <c r="F60" i="16" a="1"/>
  <c r="H59" i="16" a="1"/>
  <c r="M50" i="1" a="1"/>
  <c r="C30" i="1" a="1"/>
  <c r="D59" i="16" a="1"/>
  <c r="M60" i="16" a="1"/>
  <c r="F59" i="16" a="1"/>
  <c r="J50" i="1" a="1"/>
  <c r="J59" i="16" a="1"/>
  <c r="L14" i="97" l="1"/>
  <c r="B10" i="97"/>
  <c r="B14" i="97"/>
  <c r="L6" i="98" s="1"/>
  <c r="E7" i="19"/>
  <c r="J60" i="16"/>
  <c r="J50" i="1"/>
  <c r="J52" i="1" s="1"/>
  <c r="D30" i="1"/>
  <c r="F30" i="1" s="1"/>
  <c r="C34" i="1"/>
  <c r="D33" i="1"/>
  <c r="C30" i="1"/>
  <c r="C29" i="1"/>
  <c r="G29" i="1" s="1"/>
  <c r="F29" i="1"/>
  <c r="C28" i="1"/>
  <c r="G28" i="1" s="1"/>
  <c r="F28" i="1"/>
  <c r="C27" i="1"/>
  <c r="G27" i="1" s="1"/>
  <c r="F27" i="1"/>
  <c r="D26" i="1"/>
  <c r="C26" i="1"/>
  <c r="D25" i="1"/>
  <c r="C24" i="1"/>
  <c r="G24" i="1" s="1"/>
  <c r="F24" i="1"/>
  <c r="E8" i="16"/>
  <c r="E7" i="16"/>
  <c r="D16" i="16"/>
  <c r="E6" i="16"/>
  <c r="G59" i="16"/>
  <c r="E60" i="16"/>
  <c r="E62" i="16" s="1"/>
  <c r="M60" i="16"/>
  <c r="M62" i="16" s="1"/>
  <c r="M50" i="1"/>
  <c r="M53" i="1" s="1"/>
  <c r="N59" i="16"/>
  <c r="F49" i="16" s="1"/>
  <c r="N49" i="1"/>
  <c r="F16" i="16"/>
  <c r="J49" i="1"/>
  <c r="J59" i="16"/>
  <c r="I49" i="1"/>
  <c r="I53" i="1" s="1"/>
  <c r="I59" i="16"/>
  <c r="H59" i="16"/>
  <c r="H49" i="1"/>
  <c r="H53" i="1" s="1"/>
  <c r="G49" i="1"/>
  <c r="G53" i="1" s="1"/>
  <c r="F59" i="16"/>
  <c r="F49" i="1"/>
  <c r="F60" i="16"/>
  <c r="D59" i="16"/>
  <c r="D49" i="1"/>
  <c r="D53" i="1" s="1"/>
  <c r="D52" i="1"/>
  <c r="H52" i="1"/>
  <c r="I52" i="1"/>
  <c r="G52" i="1"/>
  <c r="E50" i="1"/>
  <c r="F50" i="1"/>
  <c r="N60" i="16" a="1"/>
  <c r="L60" i="16" a="1"/>
  <c r="N50" i="1" a="1"/>
  <c r="L50" i="1" a="1"/>
  <c r="D34" i="1" a="1"/>
  <c r="D32" i="1" a="1"/>
  <c r="B10" i="98" l="1"/>
  <c r="B14" i="98"/>
  <c r="L6" i="99" s="1"/>
  <c r="L14" i="98"/>
  <c r="J53" i="1"/>
  <c r="G30" i="1"/>
  <c r="D34" i="1"/>
  <c r="F33" i="1"/>
  <c r="G33" i="1"/>
  <c r="D32" i="1"/>
  <c r="G26" i="1"/>
  <c r="F26" i="1"/>
  <c r="G25" i="1"/>
  <c r="F25" i="1"/>
  <c r="E30" i="16"/>
  <c r="D49" i="16"/>
  <c r="D22" i="16"/>
  <c r="F22" i="16" s="1"/>
  <c r="D50" i="16"/>
  <c r="D52" i="16" s="1"/>
  <c r="D30" i="16"/>
  <c r="D32" i="16" s="1"/>
  <c r="F29" i="16"/>
  <c r="D29" i="16"/>
  <c r="H62" i="16"/>
  <c r="G62" i="16"/>
  <c r="C22" i="16"/>
  <c r="C24" i="16"/>
  <c r="D62" i="16"/>
  <c r="I62" i="16"/>
  <c r="L60" i="16"/>
  <c r="M52" i="1"/>
  <c r="N60" i="16"/>
  <c r="J62" i="16"/>
  <c r="F62" i="16"/>
  <c r="F52" i="1"/>
  <c r="F53" i="1"/>
  <c r="E52" i="1"/>
  <c r="E53" i="1"/>
  <c r="N50" i="1"/>
  <c r="L50" i="1"/>
  <c r="N45" i="1"/>
  <c r="G45" i="1"/>
  <c r="I45" i="1"/>
  <c r="J45" i="1"/>
  <c r="L45" i="1"/>
  <c r="M45" i="1"/>
  <c r="C41" i="16" a="1"/>
  <c r="C42" i="16" a="1"/>
  <c r="B14" i="99" l="1"/>
  <c r="L6" i="100" s="1"/>
  <c r="B10" i="99"/>
  <c r="L14" i="99"/>
  <c r="D45" i="1"/>
  <c r="F34" i="1"/>
  <c r="G34" i="1"/>
  <c r="F32" i="1"/>
  <c r="G32" i="1"/>
  <c r="F50" i="16"/>
  <c r="F52" i="16" s="1"/>
  <c r="E50" i="16"/>
  <c r="D23" i="16"/>
  <c r="D24" i="16"/>
  <c r="F24" i="16" s="1"/>
  <c r="L62" i="16"/>
  <c r="F30" i="16"/>
  <c r="F32" i="16" s="1"/>
  <c r="N62" i="16"/>
  <c r="C42" i="16"/>
  <c r="C41" i="16"/>
  <c r="O41" i="16" s="1"/>
  <c r="L52" i="1"/>
  <c r="L53" i="1"/>
  <c r="N52" i="1"/>
  <c r="N53" i="1"/>
  <c r="B14" i="100" l="1"/>
  <c r="L6" i="101" s="1"/>
  <c r="B10" i="100"/>
  <c r="L14" i="100"/>
  <c r="D5" i="16"/>
  <c r="C5" i="16"/>
  <c r="C9" i="16" s="1"/>
  <c r="E7" i="50" s="1"/>
  <c r="C14" i="16"/>
  <c r="C15" i="16"/>
  <c r="E45" i="1"/>
  <c r="F45" i="1"/>
  <c r="C50" i="1" a="1"/>
  <c r="C60" i="16" a="1"/>
  <c r="D23" i="1" a="1"/>
  <c r="L14" i="101" l="1"/>
  <c r="B10" i="101"/>
  <c r="B14" i="101"/>
  <c r="L6" i="102" s="1"/>
  <c r="D23" i="1"/>
  <c r="C43" i="16"/>
  <c r="O11" i="19" a="1"/>
  <c r="O11" i="19" s="1"/>
  <c r="O7" i="19"/>
  <c r="C60" i="16"/>
  <c r="C50" i="1"/>
  <c r="O43" i="1"/>
  <c r="C45" i="1"/>
  <c r="H45" i="1"/>
  <c r="C49" i="1" a="1"/>
  <c r="C59" i="16" a="1"/>
  <c r="C55" i="1" a="1"/>
  <c r="C64" i="16" a="1"/>
  <c r="I23" i="1" a="1"/>
  <c r="L14" i="102" l="1"/>
  <c r="B10" i="102"/>
  <c r="B14" i="102"/>
  <c r="L6" i="103" s="1"/>
  <c r="E5" i="16"/>
  <c r="E9" i="16" s="1"/>
  <c r="I7" i="50" s="1"/>
  <c r="I23" i="1"/>
  <c r="K23" i="1" s="1"/>
  <c r="F23" i="1"/>
  <c r="G23" i="1"/>
  <c r="D21" i="16"/>
  <c r="F21" i="16" s="1"/>
  <c r="C50" i="16"/>
  <c r="C30" i="16"/>
  <c r="C16" i="16"/>
  <c r="K11" i="50" s="1"/>
  <c r="C52" i="1"/>
  <c r="C55" i="1"/>
  <c r="C64" i="16"/>
  <c r="C59" i="16"/>
  <c r="C49" i="16" s="1"/>
  <c r="C49" i="1"/>
  <c r="C63" i="16" a="1"/>
  <c r="C54" i="1" a="1"/>
  <c r="B10" i="103" l="1"/>
  <c r="L14" i="103"/>
  <c r="B14" i="103"/>
  <c r="L6" i="94" s="1"/>
  <c r="G16" i="16"/>
  <c r="G22" i="50" s="1"/>
  <c r="K7" i="50"/>
  <c r="C57" i="1"/>
  <c r="G50" i="16"/>
  <c r="C52" i="16"/>
  <c r="C29" i="16"/>
  <c r="D25" i="16"/>
  <c r="G30" i="16"/>
  <c r="C32" i="16"/>
  <c r="C62" i="16"/>
  <c r="C21" i="16"/>
  <c r="C66" i="16"/>
  <c r="C54" i="1"/>
  <c r="C63" i="16"/>
  <c r="C53" i="1"/>
  <c r="D65" i="16" a="1"/>
  <c r="L14" i="94" l="1"/>
  <c r="B10" i="94"/>
  <c r="B14" i="94"/>
  <c r="D65" i="16"/>
  <c r="E65" i="16" a="1"/>
  <c r="E65" i="16" l="1"/>
  <c r="I21" i="16" l="1"/>
  <c r="C55" i="16"/>
  <c r="C35" i="16"/>
  <c r="F65" i="16" a="1"/>
  <c r="F65" i="16" l="1"/>
  <c r="G65" i="16" a="1"/>
  <c r="G65" i="16" l="1"/>
  <c r="H65" i="16" a="1"/>
  <c r="H65" i="16" l="1"/>
  <c r="I22" i="16" l="1"/>
  <c r="D55" i="16"/>
  <c r="D35" i="16"/>
  <c r="I65" i="16" a="1"/>
  <c r="I65" i="16" l="1"/>
  <c r="J65" i="16" a="1"/>
  <c r="J65" i="16" l="1"/>
  <c r="K65" i="16" a="1"/>
  <c r="K65" i="16" l="1"/>
  <c r="I23" i="16" l="1"/>
  <c r="E55" i="16"/>
  <c r="E35" i="16"/>
  <c r="L65" i="16" a="1"/>
  <c r="L65" i="16" l="1"/>
  <c r="M65" i="16" a="1"/>
  <c r="M65" i="16" l="1"/>
  <c r="N65" i="16" a="1"/>
  <c r="N65" i="16" l="1"/>
  <c r="I24" i="16" l="1"/>
  <c r="F55" i="16"/>
  <c r="F35" i="16"/>
  <c r="K49" i="1" a="1"/>
  <c r="K59" i="16" a="1"/>
  <c r="C31" i="1" a="1"/>
  <c r="K59" i="16" l="1"/>
  <c r="K49" i="1"/>
  <c r="C31" i="1"/>
  <c r="C35" i="1" s="1"/>
  <c r="O49" i="1" l="1"/>
  <c r="K42" i="16" a="1"/>
  <c r="D31" i="1" a="1"/>
  <c r="K60" i="16" a="1"/>
  <c r="K50" i="1" a="1"/>
  <c r="E20" i="19" l="1"/>
  <c r="K60" i="16"/>
  <c r="D31" i="1"/>
  <c r="K50" i="1"/>
  <c r="K42" i="16"/>
  <c r="E14" i="16" l="1"/>
  <c r="G14" i="16" s="1"/>
  <c r="O42" i="16"/>
  <c r="D19" i="1"/>
  <c r="K53" i="1"/>
  <c r="K52" i="1"/>
  <c r="O50" i="1"/>
  <c r="D35" i="1"/>
  <c r="F31" i="1"/>
  <c r="G31" i="1"/>
  <c r="K45" i="1"/>
  <c r="O44" i="1"/>
  <c r="K43" i="16"/>
  <c r="D7" i="16"/>
  <c r="D9" i="16" s="1"/>
  <c r="G7" i="50" s="1"/>
  <c r="K62" i="16"/>
  <c r="C23" i="16"/>
  <c r="C25" i="16" s="1"/>
  <c r="E16" i="50" s="1"/>
  <c r="E29" i="16"/>
  <c r="G29" i="16" s="1"/>
  <c r="E49" i="16"/>
  <c r="G49" i="16" s="1"/>
  <c r="O7" i="50" l="1"/>
  <c r="O11" i="50"/>
  <c r="O43" i="16"/>
  <c r="E15" i="16"/>
  <c r="M11" i="50" s="1"/>
  <c r="G7" i="19"/>
  <c r="K11" i="19"/>
  <c r="O45" i="1"/>
  <c r="K7" i="19"/>
  <c r="E23" i="16"/>
  <c r="E51" i="16"/>
  <c r="E31" i="16"/>
  <c r="G15" i="16" l="1"/>
  <c r="M7" i="50"/>
  <c r="E52" i="16"/>
  <c r="G51" i="16"/>
  <c r="F23" i="16"/>
  <c r="E25" i="16"/>
  <c r="F25" i="16" s="1"/>
  <c r="G31" i="16"/>
  <c r="G32" i="16" s="1"/>
  <c r="E32" i="16"/>
  <c r="D54" i="1" a="1"/>
  <c r="D63" i="16" a="1"/>
  <c r="H24" i="1" a="1"/>
  <c r="D63" i="16" l="1"/>
  <c r="H24" i="1"/>
  <c r="D54" i="1"/>
  <c r="J24" i="1" a="1"/>
  <c r="D56" i="1" a="1"/>
  <c r="D55" i="1" a="1"/>
  <c r="I24" i="1" a="1"/>
  <c r="D64" i="16" a="1"/>
  <c r="J24" i="1" l="1"/>
  <c r="D56" i="1"/>
  <c r="I24" i="1"/>
  <c r="D64" i="16"/>
  <c r="D66" i="16" s="1"/>
  <c r="D55" i="1"/>
  <c r="E63" i="16" a="1"/>
  <c r="H25" i="1" a="1"/>
  <c r="E54" i="1" a="1"/>
  <c r="D57" i="1" l="1"/>
  <c r="E63" i="16"/>
  <c r="E54" i="1"/>
  <c r="H25" i="1"/>
  <c r="K24" i="1"/>
  <c r="E56" i="1" a="1"/>
  <c r="E64" i="16" a="1"/>
  <c r="J25" i="1" a="1"/>
  <c r="E55" i="1" a="1"/>
  <c r="I25" i="1" a="1"/>
  <c r="J25" i="1" l="1"/>
  <c r="E64" i="16"/>
  <c r="C54" i="16" s="1"/>
  <c r="C56" i="16" s="1"/>
  <c r="E55" i="1"/>
  <c r="I25" i="1"/>
  <c r="E56" i="1"/>
  <c r="C53" i="16"/>
  <c r="C33" i="16"/>
  <c r="G21" i="16"/>
  <c r="K25" i="1" l="1"/>
  <c r="E66" i="16"/>
  <c r="E57" i="1"/>
  <c r="C34" i="16"/>
  <c r="C36" i="16" s="1"/>
  <c r="H21" i="16"/>
  <c r="J21" i="16" s="1"/>
  <c r="E19" i="1" l="1"/>
  <c r="I7" i="19" l="1"/>
  <c r="F54" i="1" a="1"/>
  <c r="H26" i="1" a="1"/>
  <c r="F63" i="16" a="1"/>
  <c r="F63" i="16" l="1"/>
  <c r="F54" i="1"/>
  <c r="H26" i="1"/>
  <c r="F64" i="16" a="1"/>
  <c r="I26" i="1" a="1"/>
  <c r="J26" i="1" a="1"/>
  <c r="F56" i="1" a="1"/>
  <c r="F55" i="1" a="1"/>
  <c r="F56" i="1" l="1"/>
  <c r="F55" i="1"/>
  <c r="I26" i="1"/>
  <c r="F64" i="16"/>
  <c r="F66" i="16" s="1"/>
  <c r="J26" i="1"/>
  <c r="F57" i="1" l="1"/>
  <c r="K26" i="1"/>
  <c r="G56" i="1" a="1"/>
  <c r="J27" i="1" a="1"/>
  <c r="H27" i="1" a="1"/>
  <c r="G54" i="1" a="1"/>
  <c r="I27" i="1" a="1"/>
  <c r="G64" i="16" a="1"/>
  <c r="G63" i="16" a="1"/>
  <c r="G55" i="1" a="1"/>
  <c r="G54" i="1" l="1"/>
  <c r="H27" i="1"/>
  <c r="G63" i="16"/>
  <c r="G56" i="1"/>
  <c r="I27" i="1"/>
  <c r="G55" i="1"/>
  <c r="J27" i="1"/>
  <c r="G64" i="16"/>
  <c r="G66" i="16" s="1"/>
  <c r="G57" i="1" l="1"/>
  <c r="K27" i="1"/>
  <c r="H63" i="16" a="1"/>
  <c r="H28" i="1" a="1"/>
  <c r="H64" i="16" a="1"/>
  <c r="I28" i="1" a="1"/>
  <c r="H55" i="1" a="1"/>
  <c r="H56" i="1" a="1"/>
  <c r="J28" i="1" a="1"/>
  <c r="H54" i="1" a="1"/>
  <c r="H63" i="16" l="1"/>
  <c r="H54" i="1"/>
  <c r="H28" i="1"/>
  <c r="H64" i="16"/>
  <c r="J28" i="1"/>
  <c r="I28" i="1"/>
  <c r="H55" i="1"/>
  <c r="H56" i="1"/>
  <c r="I29" i="1" a="1"/>
  <c r="I64" i="16" a="1"/>
  <c r="I63" i="16" a="1"/>
  <c r="I55" i="1" a="1"/>
  <c r="H29" i="1" a="1"/>
  <c r="J29" i="1" a="1"/>
  <c r="I56" i="1" a="1"/>
  <c r="I54" i="1" a="1"/>
  <c r="I56" i="1" l="1"/>
  <c r="J29" i="1"/>
  <c r="I55" i="1"/>
  <c r="I29" i="1"/>
  <c r="I64" i="16"/>
  <c r="I66" i="16" s="1"/>
  <c r="H29" i="1"/>
  <c r="I63" i="16"/>
  <c r="I54" i="1"/>
  <c r="K28" i="1"/>
  <c r="D34" i="16"/>
  <c r="D36" i="16" s="1"/>
  <c r="H22" i="16"/>
  <c r="J22" i="16" s="1"/>
  <c r="D54" i="16"/>
  <c r="D56" i="16" s="1"/>
  <c r="H66" i="16"/>
  <c r="H57" i="1"/>
  <c r="D33" i="16"/>
  <c r="D53" i="16"/>
  <c r="G22" i="16"/>
  <c r="J56" i="1" a="1"/>
  <c r="H30" i="1" a="1"/>
  <c r="J63" i="16" a="1"/>
  <c r="J64" i="16" a="1"/>
  <c r="J55" i="1" a="1"/>
  <c r="J30" i="1" a="1"/>
  <c r="J54" i="1" a="1"/>
  <c r="I30" i="1" a="1"/>
  <c r="I57" i="1" l="1"/>
  <c r="J56" i="1"/>
  <c r="J64" i="16"/>
  <c r="J66" i="16" s="1"/>
  <c r="J55" i="1"/>
  <c r="I30" i="1"/>
  <c r="J30" i="1"/>
  <c r="J63" i="16"/>
  <c r="J54" i="1"/>
  <c r="H30" i="1"/>
  <c r="K29" i="1"/>
  <c r="I31" i="1" a="1"/>
  <c r="H31" i="1" a="1"/>
  <c r="K56" i="1" a="1"/>
  <c r="K55" i="1" a="1"/>
  <c r="K63" i="16" a="1"/>
  <c r="K64" i="16" a="1"/>
  <c r="J31" i="1" a="1"/>
  <c r="K54" i="1" a="1"/>
  <c r="J31" i="1" l="1"/>
  <c r="K55" i="1"/>
  <c r="K64" i="16"/>
  <c r="I31" i="1"/>
  <c r="H31" i="1"/>
  <c r="K63" i="16"/>
  <c r="K54" i="1"/>
  <c r="K56" i="1"/>
  <c r="J57" i="1"/>
  <c r="K30" i="1"/>
  <c r="K31" i="1" l="1"/>
  <c r="E53" i="16"/>
  <c r="E33" i="16"/>
  <c r="G23" i="16"/>
  <c r="E34" i="16"/>
  <c r="E36" i="16" s="1"/>
  <c r="K66" i="16"/>
  <c r="H23" i="16"/>
  <c r="J23" i="16" s="1"/>
  <c r="E54" i="16"/>
  <c r="E56" i="16" s="1"/>
  <c r="K57" i="1"/>
  <c r="J32" i="1" a="1"/>
  <c r="L54" i="1" a="1"/>
  <c r="L63" i="16" a="1"/>
  <c r="I32" i="1" a="1"/>
  <c r="L64" i="16" a="1"/>
  <c r="L56" i="1" a="1"/>
  <c r="H32" i="1" a="1"/>
  <c r="L55" i="1" a="1"/>
  <c r="L54" i="1" l="1"/>
  <c r="L63" i="16"/>
  <c r="H32" i="1"/>
  <c r="I32" i="1"/>
  <c r="J32" i="1"/>
  <c r="L55" i="1"/>
  <c r="L64" i="16"/>
  <c r="L66" i="16" s="1"/>
  <c r="L56" i="1"/>
  <c r="L57" i="1" l="1"/>
  <c r="K32" i="1"/>
  <c r="I33" i="1" a="1"/>
  <c r="M54" i="1" a="1"/>
  <c r="M55" i="1" a="1"/>
  <c r="M64" i="16" a="1"/>
  <c r="H33" i="1" a="1"/>
  <c r="J33" i="1" a="1"/>
  <c r="M63" i="16" a="1"/>
  <c r="M56" i="1" a="1"/>
  <c r="M56" i="1" l="1"/>
  <c r="M64" i="16"/>
  <c r="M66" i="16" s="1"/>
  <c r="M55" i="1"/>
  <c r="I33" i="1"/>
  <c r="J33" i="1"/>
  <c r="M63" i="16"/>
  <c r="M54" i="1"/>
  <c r="H33" i="1"/>
  <c r="M57" i="1" l="1"/>
  <c r="K33" i="1"/>
  <c r="N63" i="16" a="1"/>
  <c r="N54" i="1" a="1"/>
  <c r="I34" i="1" a="1"/>
  <c r="N55" i="1" a="1"/>
  <c r="N64" i="16" a="1"/>
  <c r="N56" i="1" a="1"/>
  <c r="H34" i="1" a="1"/>
  <c r="J34" i="1" a="1"/>
  <c r="N55" i="1" l="1"/>
  <c r="J34" i="1"/>
  <c r="J35" i="1" s="1"/>
  <c r="N64" i="16"/>
  <c r="I34" i="1"/>
  <c r="N56" i="1"/>
  <c r="O56" i="1" s="1"/>
  <c r="N63" i="16"/>
  <c r="H34" i="1"/>
  <c r="H35" i="1" s="1"/>
  <c r="N54" i="1"/>
  <c r="O54" i="1" s="1"/>
  <c r="E22" i="50" l="1"/>
  <c r="E28" i="19"/>
  <c r="F33" i="16"/>
  <c r="G24" i="16"/>
  <c r="F53" i="16"/>
  <c r="K34" i="1"/>
  <c r="I35" i="1"/>
  <c r="F54" i="16"/>
  <c r="F56" i="16" s="1"/>
  <c r="F34" i="16"/>
  <c r="F36" i="16" s="1"/>
  <c r="N66" i="16"/>
  <c r="H24" i="16"/>
  <c r="J24" i="16" s="1"/>
  <c r="O55" i="1"/>
  <c r="N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E76276D1-B4B2-4D46-93A4-517C54960CD0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D472B9B4-DEDC-4523-BB72-F3D887784CB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ABC3720E-A3DD-4379-970F-DE7A92341713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09257298-5544-4F9B-A644-450C18F36708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7D523953-7402-4C0D-9472-0DD15B043B86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15B39286-D60F-4CE3-AE24-32DD551BC1C2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EBA33958-3149-40AE-A813-32495AB25EF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A2153DF9-DE43-4EB9-B25A-CDCE4276763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DFF1B6C2-FF33-4B8C-9A48-0E3D87751A7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7F920205-6323-4B0E-8A51-876377B673F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34777A90-4AB1-444C-807E-4B4A3EE6E6A2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795FED61-C0C5-434C-8C20-5A5FD5D1AA56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9315ADF8-2B90-41C2-8088-481F1A77A66E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9265812B-6AFE-4105-B030-CF390545EB20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AE08C4F0-3912-437F-B957-0C198658897C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EAAB7C61-BEAA-4B1D-BDDB-FF67C490F33B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C490C4A0-A9D5-4E76-9D78-A6069F476F8E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91B550D7-DDB0-4D71-89FA-C32974E0DBDB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2C16FBAA-C836-4C01-82F3-D1A90B7BBA1D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ADEFD7C2-59D1-4B46-9024-A09F9DCE26B3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E9A889EF-5AB2-48F3-8622-E52845EBA355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05CA954C-D611-42B1-B13A-AF9F6E07EC21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3D43880C-40FD-41CD-BA45-10089F3A5B1E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33637CBC-D4AE-4C4D-BB42-0CC6A2416FDF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298B61D8-442D-4950-B2B7-A44D49514261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4E7F7DCC-3ACA-4950-A97F-0B11B914F6F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2814E7D5-73FE-4880-9511-DCFB88241DE3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2E8464D6-71E3-4DD8-821E-19F77B4C7836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6E226500-DB68-47FD-8AA0-F466F100B84C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BCC7B91D-11EA-4D8A-B827-EE739D2DFC66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95D2F5A7-7B08-4792-99D6-47548728B0F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11B2101C-AA06-422F-A387-CE788CFAB5CB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FD40FB69-EAF2-418F-8BA3-A5C538BADAC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D086DB90-9964-40D3-9E45-8431B91F543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00A0CB8D-C937-47A3-A57D-AEEE459CA10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606DEE3B-D654-405E-946F-40F369A29D3B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6A4616EF-5AF1-470A-A6AA-11B7801CB0B8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C6C74508-B9B8-4673-92C2-8077F16E9871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0C8F2FCE-DC8A-4E3B-9281-F7EAFAE083E0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5FAE38C3-72DC-48F7-8CA9-14C93D3304F3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4CF3E93A-B93B-4F5D-A899-F9AE833FF5D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02839BFF-7848-4047-B469-CA152AB05D04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B49F06D2-82C0-4AA6-AF37-82B0F827FF65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64387DA8-9207-43FE-91F6-24E5DC43815A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eleve04</author>
  </authors>
  <commentList>
    <comment ref="B10" authorId="0" shapeId="0" xr:uid="{D3BA5792-12B5-48AD-9218-B38C08A27C35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0" authorId="0" shapeId="0" xr:uid="{76970DB0-C44D-4706-8528-2EF1485ABC89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  <comment ref="B14" authorId="0" shapeId="0" xr:uid="{5C382DBC-3A3E-4AF2-BE87-7FA8C9724A39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reste a depenser = Budget PRECEDENT + Montant à BUDGETER
</t>
        </r>
      </text>
    </comment>
    <comment ref="H14" authorId="0" shapeId="0" xr:uid="{DDE70C24-8C73-43AE-8424-1092DA97869C}">
      <text>
        <r>
          <rPr>
            <b/>
            <sz val="9"/>
            <color rgb="FF000000"/>
            <rFont val="Tahoma"/>
            <family val="2"/>
          </rPr>
          <t>eleve04: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Revenus Budget -  Dépenses 
</t>
        </r>
        <r>
          <rPr>
            <sz val="9"/>
            <color rgb="FF000000"/>
            <rFont val="Tahoma"/>
            <family val="2"/>
          </rPr>
          <t xml:space="preserve">budgets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67FC8-66B1-4F14-A03E-58DCA35C6CFC}" keepAlive="1" name="Requête - CheminDossier" description="Connexion à la requête « CheminDossier » dans le classeur." type="5" refreshedVersion="8" background="1" saveData="1">
    <dbPr connection="Provider=Microsoft.Mashup.OleDb.1;Data Source=$Workbook$;Location=CheminDossier;Extended Properties=&quot;&quot;" command="SELECT * FROM [CheminDossier]"/>
  </connection>
  <connection id="2" xr16:uid="{ED57E9FB-CEBD-4217-B535-2158EE96F808}" keepAlive="1" name="Requête - Transaction (2)" description="Connexion à la requête « Transaction (2) » dans le classeur." type="5" refreshedVersion="8" background="1" saveData="1">
    <dbPr connection="Provider=Microsoft.Mashup.OleDb.1;Data Source=$Workbook$;Location=&quot;Transaction (2)&quot;;Extended Properties=&quot;&quot;" command="SELECT * FROM [Transaction (2)]"/>
  </connection>
  <connection id="3" xr16:uid="{41BD7CAC-4F55-49FF-958B-9D5B1671E295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4" xr16:uid="{9E9275D8-EF79-445C-A087-7FC973C59FF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3AFE1D5-DF57-419C-9EF5-5D5ECF7F273B}" name="WorksheetConnection_suivi budgétaire - Copie.xlsx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suivibudgétaireCopie.xlsxTransaction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<sst xmlns="http://schemas.openxmlformats.org/spreadsheetml/2006/main" count="2297" uniqueCount="229">
  <si>
    <t>TABLEAU ANNUEL</t>
  </si>
  <si>
    <t>TOTAL ANNUEL</t>
  </si>
  <si>
    <t>REVENUS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</si>
  <si>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</si>
  <si>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</si>
  <si>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</si>
  <si>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</si>
  <si>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</si>
  <si>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</si>
  <si>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</si>
  <si>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</si>
  <si>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</si>
  <si>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</si>
  <si>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</si>
  <si>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</si>
  <si>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RÉSUMÉ DU BUDGET</t>
  </si>
  <si>
    <t>REVENU ANNUEL</t>
  </si>
  <si>
    <t/>
  </si>
  <si>
    <t>RÉSUMÉ DE BUDGET</t>
  </si>
  <si>
    <t>SOURCE</t>
  </si>
  <si>
    <t>BUDGET</t>
  </si>
  <si>
    <t>RÉEL</t>
  </si>
  <si>
    <t>MONTANTS RESTANT</t>
  </si>
  <si>
    <t>SOURCES</t>
  </si>
  <si>
    <t xml:space="preserve">DÉPOSÉ SUR </t>
  </si>
  <si>
    <t>TOTAL</t>
  </si>
  <si>
    <t>DESCRIPTION</t>
  </si>
  <si>
    <t>ECART</t>
  </si>
  <si>
    <t xml:space="preserve">Écart </t>
  </si>
  <si>
    <t>TABLEAU MENSUEL</t>
  </si>
  <si>
    <t>SOLDE  PRECEDENT</t>
  </si>
  <si>
    <t>MOIS LE PLUS DEPENSIER</t>
  </si>
  <si>
    <t xml:space="preserve"> MOIS LE PLUS ECONOMIQUE</t>
  </si>
  <si>
    <t xml:space="preserve">LE SOLDE </t>
  </si>
  <si>
    <t>PREVISION ECONOMIE MENSUELLE (budget)</t>
  </si>
  <si>
    <t>ECONOMIE MENSUELLE REALISE</t>
  </si>
  <si>
    <t>LE SOLDE BUDGETISE</t>
  </si>
  <si>
    <t>REVENUS REEL TOTAL</t>
  </si>
  <si>
    <t>OBJECTIF</t>
  </si>
  <si>
    <t>OBJECTIF ECONOMIE MENSUELLE</t>
  </si>
  <si>
    <t>T1</t>
  </si>
  <si>
    <t xml:space="preserve">OBJECTIF SOLDE </t>
  </si>
  <si>
    <t>T2</t>
  </si>
  <si>
    <t>T3</t>
  </si>
  <si>
    <t>T4</t>
  </si>
  <si>
    <t>MOIS</t>
  </si>
  <si>
    <t>TRIMESTRE</t>
  </si>
  <si>
    <t>TABLEAU TRIMESTRIEL</t>
  </si>
  <si>
    <t>ECART SOLDE</t>
  </si>
  <si>
    <t>ECONOMIE MENSUEL REALISE</t>
  </si>
  <si>
    <t>OBJECTIF ECONOMIE MENSUELLLE</t>
  </si>
  <si>
    <t>ECONOMIE MENSUELLE REALISEE</t>
  </si>
  <si>
    <t>OBJECTIF SOLDE</t>
  </si>
  <si>
    <t>ECART SOLDE / OBJECTIF SOLDE</t>
  </si>
  <si>
    <t>ECART ECONOMIE MENSUELLE REALISE / BUDGET</t>
  </si>
  <si>
    <t>TRISMESTRE</t>
  </si>
  <si>
    <t>ECART ECONOMIE - OBJECTIF</t>
  </si>
  <si>
    <t>ECART SOLDE - OBJECTIF</t>
  </si>
  <si>
    <t>ECART ECONOMIE REEL - BUDGET</t>
  </si>
  <si>
    <t>ECONOMIE MENSUELLE</t>
  </si>
  <si>
    <t>OBJECTIF ECONOMIE TRIMESTRIELLE</t>
  </si>
  <si>
    <t>ECONOMIE TRIMESTRIELLE  REALISE</t>
  </si>
  <si>
    <t>PREVISION ECONOMIE TRIMESTRIELLE (budget)</t>
  </si>
  <si>
    <t>ECONOMIES ANNUELLES</t>
  </si>
  <si>
    <t>SOLDE ANNUELLE</t>
  </si>
  <si>
    <t>REEL</t>
  </si>
  <si>
    <t>PROVISOIRE</t>
  </si>
  <si>
    <t>DEPENSE ANNUELLE</t>
  </si>
  <si>
    <t>LE SOLDE ACUTELLE</t>
  </si>
  <si>
    <t>ECONOMIE TRIMESTRIELLE</t>
  </si>
  <si>
    <t>ECART ECONOMIE MENSUELLE  REALISE / OBJECTIF</t>
  </si>
  <si>
    <t>MOIS LE MOINS DEPENSIER</t>
  </si>
  <si>
    <t xml:space="preserve"> MOIS LE MOINS ECONOMIQUE</t>
  </si>
  <si>
    <t>MOIS LE PLUS LUCRATIF</t>
  </si>
  <si>
    <t>MOIS LE MOINS LUCRATIF</t>
  </si>
  <si>
    <t>ECART SOLDE- OBJECTIF</t>
  </si>
  <si>
    <t xml:space="preserve">TOTAL ANNUEL </t>
  </si>
  <si>
    <t>Année</t>
  </si>
  <si>
    <t>Montant de transaction</t>
  </si>
  <si>
    <t>décembre</t>
  </si>
  <si>
    <t>novembre</t>
  </si>
  <si>
    <t>LIBELLE</t>
  </si>
  <si>
    <t>DATE</t>
  </si>
  <si>
    <t>Dépense/Revenue</t>
  </si>
  <si>
    <t>Montant de l'opération</t>
  </si>
  <si>
    <t>dépense</t>
  </si>
  <si>
    <t>revenue</t>
  </si>
  <si>
    <t>Dépense</t>
  </si>
  <si>
    <t>DEPENSE</t>
  </si>
  <si>
    <t>DEPENSES</t>
  </si>
  <si>
    <t xml:space="preserve"> TRIMESTRE LE PLUS ECONOMIQUE</t>
  </si>
  <si>
    <t>TRIMESTRE LE PLUS DEPENSIER</t>
  </si>
  <si>
    <t xml:space="preserve"> TRIMESTRE LE MOINS ECONOMIQUE</t>
  </si>
  <si>
    <t>TRIMESTRE LE MOINS DEPENSIER</t>
  </si>
  <si>
    <t>TRIMESTRE LE PLUS LUCRATIF</t>
  </si>
  <si>
    <t>TRIMESTRE LE MOINS LUCRATIF</t>
  </si>
  <si>
    <t>DEPENSE RÉELLE TOTALE</t>
  </si>
  <si>
    <t>janvier</t>
  </si>
  <si>
    <t xml:space="preserve">*   </t>
  </si>
  <si>
    <t xml:space="preserve">Saisir l'année du budget: </t>
  </si>
  <si>
    <t>Date operation</t>
  </si>
  <si>
    <t>Libelle court</t>
  </si>
  <si>
    <t>Libelle operation</t>
  </si>
  <si>
    <t>Débit euro</t>
  </si>
  <si>
    <t>Crédit euro</t>
  </si>
  <si>
    <t>Type operation</t>
  </si>
  <si>
    <t>PRELEVEMENT</t>
  </si>
  <si>
    <t>RETRAIT DAB</t>
  </si>
  <si>
    <t>février</t>
  </si>
  <si>
    <t>mars</t>
  </si>
  <si>
    <t>avril</t>
  </si>
  <si>
    <t>mai</t>
  </si>
  <si>
    <t>juin</t>
  </si>
  <si>
    <t>juillet</t>
  </si>
  <si>
    <t>août</t>
  </si>
  <si>
    <t>VIREMENT</t>
  </si>
  <si>
    <t>VIR SEPA RECU</t>
  </si>
  <si>
    <t>CHEQUE</t>
  </si>
  <si>
    <t>septembre</t>
  </si>
  <si>
    <t>octobre</t>
  </si>
  <si>
    <t>Dépense carte</t>
  </si>
  <si>
    <t>Achat alimentation</t>
  </si>
  <si>
    <t>Supermarché</t>
  </si>
  <si>
    <t>Virement reçu</t>
  </si>
  <si>
    <t>Revenu</t>
  </si>
  <si>
    <t>Salaire</t>
  </si>
  <si>
    <t>Loisirs</t>
  </si>
  <si>
    <t>Cinéma</t>
  </si>
  <si>
    <t>Prélèvement</t>
  </si>
  <si>
    <t>Télécom</t>
  </si>
  <si>
    <t>Facture Mobile</t>
  </si>
  <si>
    <t>Assurance</t>
  </si>
  <si>
    <t>Assurance habitation</t>
  </si>
  <si>
    <t>Remboursement</t>
  </si>
  <si>
    <t>Remboursement ami</t>
  </si>
  <si>
    <t>Transport</t>
  </si>
  <si>
    <t>Transports urbains</t>
  </si>
  <si>
    <t>Boulangerie</t>
  </si>
  <si>
    <t>Electricité</t>
  </si>
  <si>
    <t>Facture Electricité</t>
  </si>
  <si>
    <t>Santé</t>
  </si>
  <si>
    <t>Pharmacie</t>
  </si>
  <si>
    <t>Prime</t>
  </si>
  <si>
    <t>Retrait DAB</t>
  </si>
  <si>
    <t>Retrait</t>
  </si>
  <si>
    <t>Distributeur</t>
  </si>
  <si>
    <t>Achat en ligne</t>
  </si>
  <si>
    <t>Achat internet</t>
  </si>
  <si>
    <t>Remboursement impôt</t>
  </si>
  <si>
    <t>Prêt</t>
  </si>
  <si>
    <t>Échéance prêt</t>
  </si>
  <si>
    <t>Restaurant</t>
  </si>
  <si>
    <t>Cadeau</t>
  </si>
  <si>
    <t>Complémentaire santé</t>
  </si>
  <si>
    <t>Achat numérique</t>
  </si>
  <si>
    <t>Boucherie</t>
  </si>
  <si>
    <t>Bar</t>
  </si>
  <si>
    <t>Fromagerie</t>
  </si>
  <si>
    <t>Assurance auto</t>
  </si>
  <si>
    <t>Remboursement assurance</t>
  </si>
  <si>
    <t>Achat électronique</t>
  </si>
  <si>
    <t>Epicerie</t>
  </si>
  <si>
    <t>Théâtre</t>
  </si>
  <si>
    <t>Paiement carte</t>
  </si>
  <si>
    <t>Virement</t>
  </si>
  <si>
    <t>Virement SEPA</t>
  </si>
  <si>
    <t>Abonnement</t>
  </si>
  <si>
    <t>Facture abonnement</t>
  </si>
  <si>
    <t>Facture télécom</t>
  </si>
  <si>
    <t>Énergie</t>
  </si>
  <si>
    <t>Facture énergie</t>
  </si>
  <si>
    <t>Courses</t>
  </si>
  <si>
    <t>Dépense alimentation</t>
  </si>
  <si>
    <t>Facture numérique</t>
  </si>
  <si>
    <t>Achat café</t>
  </si>
  <si>
    <t>Finance</t>
  </si>
  <si>
    <t>Frais bancaires</t>
  </si>
  <si>
    <t>Essence</t>
  </si>
  <si>
    <t>TRANSPORT</t>
  </si>
  <si>
    <t>RETRAIT</t>
  </si>
  <si>
    <t>Abonnement transports RATP</t>
  </si>
  <si>
    <t>BON CADEAUX</t>
  </si>
  <si>
    <t>Carte cadeau Fnac</t>
  </si>
  <si>
    <t>CARTE</t>
  </si>
  <si>
    <t>Retrait au distributeur automatique</t>
  </si>
  <si>
    <t>LOYER</t>
  </si>
  <si>
    <t>REMUNERATION</t>
  </si>
  <si>
    <t>Paiement loyer mensuel</t>
  </si>
  <si>
    <t>VIREMENT EMIS</t>
  </si>
  <si>
    <t>Virement émis vers compte épargne</t>
  </si>
  <si>
    <t>ABONNEMENT NETFLIX</t>
  </si>
  <si>
    <t>Abonnement Netflix mensuel</t>
  </si>
  <si>
    <t>COMMISSION</t>
  </si>
  <si>
    <t>Commission de mouvement</t>
  </si>
  <si>
    <t>PHARMACIE</t>
  </si>
  <si>
    <t>Achat pharmacie</t>
  </si>
  <si>
    <t>PAIEMENT EN LIGNE</t>
  </si>
  <si>
    <t>Paiement en ligne - sites divers</t>
  </si>
  <si>
    <t>RESTAURANT</t>
  </si>
  <si>
    <t>Restaurant Le Bistro Parisien</t>
  </si>
  <si>
    <t>FACTURE TELEPHONE</t>
  </si>
  <si>
    <t>FRAIS</t>
  </si>
  <si>
    <t>Paiement facture téléphonique SFR</t>
  </si>
  <si>
    <t>PAIEMENT CARTE</t>
  </si>
  <si>
    <t>Paiement par carte bancaire</t>
  </si>
  <si>
    <t>ASSURANCE AUTO</t>
  </si>
  <si>
    <t>Prélèvement assurance automobile</t>
  </si>
  <si>
    <t>PAIEMENT GOOGLE</t>
  </si>
  <si>
    <t>Paiement Google Play Store</t>
  </si>
  <si>
    <t>FRAIS BANCAIRES</t>
  </si>
  <si>
    <t>Frais de tenue de compte mensuels</t>
  </si>
  <si>
    <t>REMBOURSEMENT PRET</t>
  </si>
  <si>
    <t>Remboursement prêt immobilier</t>
  </si>
  <si>
    <t>ACHAT AMAZON</t>
  </si>
  <si>
    <t>Achat sur Amazon.fr - électronique</t>
  </si>
  <si>
    <t>STATION ESSENCE</t>
  </si>
  <si>
    <t>Station Total - carburant</t>
  </si>
  <si>
    <t>PRELEVEMENT ASSURANCE</t>
  </si>
  <si>
    <t>Prélèvement mensuel assurance habitation</t>
  </si>
  <si>
    <t>COURSES</t>
  </si>
  <si>
    <t>Courses alimentaires Carrefour</t>
  </si>
  <si>
    <t>CB SUPERMARCHE</t>
  </si>
  <si>
    <t>Paiement carte supermarché Leclerc</t>
  </si>
  <si>
    <t>CINEMA</t>
  </si>
  <si>
    <t>Place de cinéma UGC</t>
  </si>
  <si>
    <t>Virement reçu de Mr Dupont Jean</t>
  </si>
  <si>
    <t>Chèque émis</t>
  </si>
  <si>
    <t>Salaire - Société ABC</t>
  </si>
  <si>
    <t>Param_Path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</si>
</sst>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40C]_-;\-* #,##0.00\ [$€-40C]_-;_-* &quot;-&quot;??\ [$€-40C]_-;_-@_-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5">
    <xf numFmtId="0" fontId="0" fillId="0" borderId="0" xfId="0"/>
    <xf numFmtId="164" fontId="7" fillId="0" borderId="13" xfId="0" applyNumberFormat="1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164" fontId="0" fillId="0" borderId="0" xfId="0" applyNumberFormat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4" fillId="16" borderId="18" xfId="0" applyNumberFormat="1" applyFont="1" applyFill="1" applyBorder="1" applyAlignment="1">
      <alignment horizontal="center" vertical="center"/>
    </xf>
    <xf numFmtId="164" fontId="16" fillId="6" borderId="19" xfId="0" applyNumberFormat="1" applyFont="1" applyFill="1" applyBorder="1"/>
    <xf numFmtId="164" fontId="16" fillId="6" borderId="22" xfId="0" applyNumberFormat="1" applyFont="1" applyFill="1" applyBorder="1"/>
    <xf numFmtId="165" fontId="17" fillId="15" borderId="18" xfId="0" applyNumberFormat="1" applyFont="1" applyFill="1" applyBorder="1"/>
    <xf numFmtId="164" fontId="16" fillId="0" borderId="0" xfId="0" applyNumberFormat="1" applyFont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65" fontId="17" fillId="6" borderId="0" xfId="0" applyNumberFormat="1" applyFont="1" applyFill="1" applyAlignment="1">
      <alignment horizontal="center" vertical="center"/>
    </xf>
    <xf numFmtId="165" fontId="17" fillId="6" borderId="8" xfId="0" applyNumberFormat="1" applyFont="1" applyFill="1" applyBorder="1" applyAlignment="1">
      <alignment horizontal="center" vertical="center"/>
    </xf>
    <xf numFmtId="165" fontId="17" fillId="6" borderId="10" xfId="0" applyNumberFormat="1" applyFont="1" applyFill="1" applyBorder="1"/>
    <xf numFmtId="165" fontId="17" fillId="6" borderId="11" xfId="0" applyNumberFormat="1" applyFont="1" applyFill="1" applyBorder="1"/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5" fillId="3" borderId="1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164" fontId="16" fillId="6" borderId="18" xfId="0" applyNumberFormat="1" applyFont="1" applyFill="1" applyBorder="1"/>
    <xf numFmtId="164" fontId="16" fillId="17" borderId="18" xfId="0" applyNumberFormat="1" applyFont="1" applyFill="1" applyBorder="1"/>
    <xf numFmtId="0" fontId="1" fillId="13" borderId="30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12" borderId="31" xfId="0" applyFont="1" applyFill="1" applyBorder="1"/>
    <xf numFmtId="0" fontId="1" fillId="13" borderId="28" xfId="0" applyFont="1" applyFill="1" applyBorder="1" applyAlignment="1">
      <alignment horizontal="center"/>
    </xf>
    <xf numFmtId="164" fontId="0" fillId="0" borderId="15" xfId="0" applyNumberFormat="1" applyBorder="1"/>
    <xf numFmtId="164" fontId="0" fillId="0" borderId="14" xfId="0" applyNumberFormat="1" applyBorder="1"/>
    <xf numFmtId="164" fontId="0" fillId="12" borderId="29" xfId="0" applyNumberFormat="1" applyFill="1" applyBorder="1"/>
    <xf numFmtId="0" fontId="1" fillId="18" borderId="32" xfId="0" applyFont="1" applyFill="1" applyBorder="1"/>
    <xf numFmtId="164" fontId="1" fillId="18" borderId="21" xfId="0" applyNumberFormat="1" applyFont="1" applyFill="1" applyBorder="1"/>
    <xf numFmtId="164" fontId="1" fillId="18" borderId="19" xfId="0" applyNumberFormat="1" applyFont="1" applyFill="1" applyBorder="1"/>
    <xf numFmtId="164" fontId="1" fillId="18" borderId="33" xfId="0" applyNumberFormat="1" applyFont="1" applyFill="1" applyBorder="1"/>
    <xf numFmtId="0" fontId="15" fillId="0" borderId="0" xfId="0" applyFont="1"/>
    <xf numFmtId="164" fontId="18" fillId="0" borderId="0" xfId="0" applyNumberFormat="1" applyFont="1"/>
    <xf numFmtId="0" fontId="0" fillId="0" borderId="8" xfId="0" applyBorder="1" applyAlignment="1">
      <alignment horizontal="center"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1" fillId="15" borderId="27" xfId="0" applyNumberFormat="1" applyFont="1" applyFill="1" applyBorder="1"/>
    <xf numFmtId="0" fontId="1" fillId="12" borderId="8" xfId="0" applyFont="1" applyFill="1" applyBorder="1" applyAlignment="1">
      <alignment horizontal="center" vertical="center"/>
    </xf>
    <xf numFmtId="164" fontId="1" fillId="12" borderId="7" xfId="0" applyNumberFormat="1" applyFont="1" applyFill="1" applyBorder="1" applyAlignment="1">
      <alignment vertical="center"/>
    </xf>
    <xf numFmtId="164" fontId="1" fillId="12" borderId="0" xfId="0" applyNumberFormat="1" applyFont="1" applyFill="1" applyAlignment="1">
      <alignment vertical="center"/>
    </xf>
    <xf numFmtId="164" fontId="1" fillId="15" borderId="26" xfId="0" applyNumberFormat="1" applyFont="1" applyFill="1" applyBorder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0" fontId="14" fillId="11" borderId="0" xfId="0" applyFont="1" applyFill="1" applyAlignment="1">
      <alignment horizontal="center"/>
    </xf>
    <xf numFmtId="0" fontId="14" fillId="0" borderId="0" xfId="0" applyFont="1"/>
    <xf numFmtId="0" fontId="14" fillId="14" borderId="0" xfId="0" applyFont="1" applyFill="1"/>
    <xf numFmtId="164" fontId="15" fillId="11" borderId="0" xfId="0" applyNumberFormat="1" applyFont="1" applyFill="1" applyAlignment="1">
      <alignment horizontal="center"/>
    </xf>
    <xf numFmtId="164" fontId="18" fillId="14" borderId="0" xfId="0" applyNumberFormat="1" applyFont="1" applyFill="1"/>
    <xf numFmtId="164" fontId="15" fillId="14" borderId="0" xfId="0" applyNumberFormat="1" applyFont="1" applyFill="1"/>
    <xf numFmtId="0" fontId="1" fillId="14" borderId="0" xfId="0" applyFont="1" applyFill="1"/>
    <xf numFmtId="164" fontId="18" fillId="17" borderId="0" xfId="0" applyNumberFormat="1" applyFont="1" applyFill="1"/>
    <xf numFmtId="0" fontId="0" fillId="17" borderId="0" xfId="0" applyFill="1"/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164" fontId="0" fillId="0" borderId="25" xfId="0" applyNumberForma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vertical="center"/>
    </xf>
    <xf numFmtId="164" fontId="0" fillId="14" borderId="18" xfId="0" applyNumberFormat="1" applyFill="1" applyBorder="1"/>
    <xf numFmtId="0" fontId="1" fillId="14" borderId="15" xfId="0" applyFont="1" applyFill="1" applyBorder="1" applyAlignment="1">
      <alignment horizontal="center" vertical="center"/>
    </xf>
    <xf numFmtId="164" fontId="1" fillId="14" borderId="14" xfId="0" applyNumberFormat="1" applyFont="1" applyFill="1" applyBorder="1" applyAlignment="1">
      <alignment vertical="center"/>
    </xf>
    <xf numFmtId="164" fontId="0" fillId="17" borderId="0" xfId="0" applyNumberFormat="1" applyFill="1"/>
    <xf numFmtId="0" fontId="1" fillId="14" borderId="21" xfId="0" applyFont="1" applyFill="1" applyBorder="1" applyAlignment="1">
      <alignment horizontal="center" vertical="center"/>
    </xf>
    <xf numFmtId="164" fontId="1" fillId="14" borderId="19" xfId="0" applyNumberFormat="1" applyFont="1" applyFill="1" applyBorder="1" applyAlignment="1">
      <alignment vertical="center"/>
    </xf>
    <xf numFmtId="0" fontId="0" fillId="0" borderId="0" xfId="0" applyAlignment="1">
      <alignment horizontal="center" textRotation="45"/>
    </xf>
    <xf numFmtId="164" fontId="0" fillId="0" borderId="0" xfId="0" applyNumberFormat="1" applyAlignment="1">
      <alignment horizontal="center" vertical="center" textRotation="45"/>
    </xf>
    <xf numFmtId="0" fontId="1" fillId="11" borderId="3" xfId="0" applyFont="1" applyFill="1" applyBorder="1" applyAlignment="1">
      <alignment horizontal="center"/>
    </xf>
    <xf numFmtId="0" fontId="1" fillId="11" borderId="2" xfId="0" applyFont="1" applyFill="1" applyBorder="1"/>
    <xf numFmtId="0" fontId="0" fillId="0" borderId="8" xfId="0" applyBorder="1" applyAlignment="1">
      <alignment horizontal="left"/>
    </xf>
    <xf numFmtId="0" fontId="12" fillId="14" borderId="8" xfId="0" applyFont="1" applyFill="1" applyBorder="1" applyAlignment="1">
      <alignment horizontal="left"/>
    </xf>
    <xf numFmtId="164" fontId="0" fillId="14" borderId="0" xfId="0" applyNumberFormat="1" applyFill="1"/>
    <xf numFmtId="0" fontId="12" fillId="14" borderId="11" xfId="0" applyFont="1" applyFill="1" applyBorder="1" applyAlignment="1">
      <alignment horizontal="left"/>
    </xf>
    <xf numFmtId="164" fontId="0" fillId="14" borderId="10" xfId="0" applyNumberFormat="1" applyFill="1" applyBorder="1"/>
    <xf numFmtId="0" fontId="0" fillId="0" borderId="10" xfId="0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7" xfId="0" applyBorder="1"/>
    <xf numFmtId="0" fontId="12" fillId="14" borderId="17" xfId="0" applyFont="1" applyFill="1" applyBorder="1"/>
    <xf numFmtId="0" fontId="12" fillId="14" borderId="13" xfId="0" applyFont="1" applyFill="1" applyBorder="1"/>
    <xf numFmtId="164" fontId="0" fillId="0" borderId="8" xfId="0" applyNumberFormat="1" applyBorder="1" applyAlignment="1">
      <alignment vertical="center"/>
    </xf>
    <xf numFmtId="165" fontId="12" fillId="14" borderId="0" xfId="0" applyNumberFormat="1" applyFont="1" applyFill="1" applyAlignment="1">
      <alignment vertical="center"/>
    </xf>
    <xf numFmtId="165" fontId="12" fillId="14" borderId="8" xfId="0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8" xfId="0" applyNumberFormat="1" applyBorder="1" applyAlignment="1">
      <alignment vertical="center"/>
    </xf>
    <xf numFmtId="165" fontId="0" fillId="14" borderId="10" xfId="0" applyNumberFormat="1" applyFill="1" applyBorder="1"/>
    <xf numFmtId="165" fontId="0" fillId="14" borderId="11" xfId="0" applyNumberFormat="1" applyFill="1" applyBorder="1"/>
    <xf numFmtId="0" fontId="4" fillId="13" borderId="23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4" fillId="16" borderId="25" xfId="0" applyFont="1" applyFill="1" applyBorder="1" applyAlignment="1">
      <alignment horizontal="center" vertical="center"/>
    </xf>
    <xf numFmtId="0" fontId="16" fillId="0" borderId="0" xfId="0" applyFont="1"/>
    <xf numFmtId="0" fontId="4" fillId="13" borderId="1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16" fillId="0" borderId="24" xfId="0" applyFont="1" applyBorder="1"/>
    <xf numFmtId="0" fontId="16" fillId="15" borderId="25" xfId="0" applyFont="1" applyFill="1" applyBorder="1"/>
    <xf numFmtId="0" fontId="4" fillId="7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6" fillId="6" borderId="0" xfId="0" applyFont="1" applyFill="1"/>
    <xf numFmtId="0" fontId="16" fillId="6" borderId="10" xfId="0" applyFont="1" applyFill="1" applyBorder="1"/>
    <xf numFmtId="0" fontId="8" fillId="0" borderId="0" xfId="0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/>
      <protection locked="0"/>
    </xf>
    <xf numFmtId="0" fontId="9" fillId="8" borderId="0" xfId="0" applyFont="1" applyFill="1"/>
    <xf numFmtId="0" fontId="6" fillId="9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14" fontId="0" fillId="0" borderId="0" xfId="0" applyNumberFormat="1"/>
    <xf numFmtId="0" fontId="8" fillId="0" borderId="8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164" fontId="6" fillId="7" borderId="10" xfId="0" applyNumberFormat="1" applyFont="1" applyFill="1" applyBorder="1" applyAlignment="1">
      <alignment horizontal="center"/>
    </xf>
    <xf numFmtId="0" fontId="8" fillId="0" borderId="7" xfId="0" applyFont="1" applyBorder="1" applyAlignment="1" applyProtection="1">
      <alignment horizontal="center"/>
      <protection locked="0"/>
    </xf>
    <xf numFmtId="0" fontId="9" fillId="8" borderId="8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/>
    </xf>
    <xf numFmtId="164" fontId="10" fillId="7" borderId="13" xfId="0" applyNumberFormat="1" applyFont="1" applyFill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7" borderId="13" xfId="0" applyNumberFormat="1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horizontal="center" vertical="center"/>
    </xf>
    <xf numFmtId="164" fontId="10" fillId="12" borderId="13" xfId="0" applyNumberFormat="1" applyFont="1" applyFill="1" applyBorder="1" applyAlignment="1">
      <alignment horizontal="center" vertical="center"/>
    </xf>
    <xf numFmtId="14" fontId="8" fillId="0" borderId="0" xfId="0" applyNumberFormat="1" applyFont="1" applyProtection="1"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164" fontId="11" fillId="0" borderId="0" xfId="0" applyNumberFormat="1" applyFont="1"/>
    <xf numFmtId="164" fontId="11" fillId="0" borderId="10" xfId="0" applyNumberFormat="1" applyFont="1" applyBorder="1"/>
    <xf numFmtId="164" fontId="10" fillId="10" borderId="2" xfId="0" applyNumberFormat="1" applyFont="1" applyFill="1" applyBorder="1" applyAlignment="1">
      <alignment horizontal="right" vertical="center"/>
    </xf>
    <xf numFmtId="164" fontId="10" fillId="10" borderId="2" xfId="0" applyNumberFormat="1" applyFont="1" applyFill="1" applyBorder="1"/>
    <xf numFmtId="165" fontId="11" fillId="0" borderId="0" xfId="0" applyNumberFormat="1" applyFont="1" applyAlignment="1" applyProtection="1">
      <alignment horizontal="center"/>
      <protection locked="0"/>
    </xf>
    <xf numFmtId="165" fontId="11" fillId="0" borderId="0" xfId="0" applyNumberFormat="1" applyFont="1" applyAlignment="1">
      <alignment horizontal="center"/>
    </xf>
    <xf numFmtId="164" fontId="10" fillId="9" borderId="2" xfId="0" applyNumberFormat="1" applyFont="1" applyFill="1" applyBorder="1" applyAlignment="1">
      <alignment horizontal="right"/>
    </xf>
    <xf numFmtId="165" fontId="10" fillId="9" borderId="3" xfId="0" applyNumberFormat="1" applyFont="1" applyFill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4" fontId="10" fillId="7" borderId="10" xfId="0" applyNumberFormat="1" applyFont="1" applyFill="1" applyBorder="1" applyAlignment="1">
      <alignment horizontal="center"/>
    </xf>
    <xf numFmtId="164" fontId="10" fillId="7" borderId="11" xfId="0" applyNumberFormat="1" applyFont="1" applyFill="1" applyBorder="1" applyAlignment="1">
      <alignment horizontal="right"/>
    </xf>
    <xf numFmtId="164" fontId="16" fillId="0" borderId="18" xfId="0" applyNumberFormat="1" applyFont="1" applyBorder="1"/>
    <xf numFmtId="0" fontId="16" fillId="14" borderId="24" xfId="0" applyFont="1" applyFill="1" applyBorder="1"/>
    <xf numFmtId="165" fontId="17" fillId="14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4" fontId="0" fillId="6" borderId="14" xfId="0" applyNumberFormat="1" applyFill="1" applyBorder="1"/>
    <xf numFmtId="164" fontId="0" fillId="14" borderId="27" xfId="0" applyNumberFormat="1" applyFill="1" applyBorder="1"/>
    <xf numFmtId="0" fontId="15" fillId="14" borderId="2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3" borderId="8" xfId="0" applyFont="1" applyFill="1" applyBorder="1" applyAlignment="1">
      <alignment horizontal="center"/>
    </xf>
    <xf numFmtId="0" fontId="15" fillId="13" borderId="7" xfId="0" applyFont="1" applyFill="1" applyBorder="1" applyAlignment="1">
      <alignment vertical="center"/>
    </xf>
    <xf numFmtId="0" fontId="15" fillId="13" borderId="0" xfId="0" applyFont="1" applyFill="1" applyAlignment="1">
      <alignment vertical="center"/>
    </xf>
    <xf numFmtId="0" fontId="15" fillId="15" borderId="20" xfId="0" applyFont="1" applyFill="1" applyBorder="1" applyAlignment="1">
      <alignment horizontal="center" vertical="center"/>
    </xf>
    <xf numFmtId="164" fontId="10" fillId="0" borderId="13" xfId="0" applyNumberFormat="1" applyFont="1" applyBorder="1" applyAlignment="1" applyProtection="1">
      <alignment horizontal="center" vertical="center"/>
      <protection locked="0"/>
    </xf>
    <xf numFmtId="14" fontId="6" fillId="7" borderId="10" xfId="0" applyNumberFormat="1" applyFont="1" applyFill="1" applyBorder="1" applyAlignment="1">
      <alignment horizontal="center"/>
    </xf>
    <xf numFmtId="14" fontId="6" fillId="7" borderId="5" xfId="0" applyNumberFormat="1" applyFont="1" applyFill="1" applyBorder="1" applyAlignment="1">
      <alignment horizontal="center" vertical="center"/>
    </xf>
    <xf numFmtId="14" fontId="9" fillId="8" borderId="0" xfId="0" applyNumberFormat="1" applyFont="1" applyFill="1" applyAlignment="1">
      <alignment horizontal="center"/>
    </xf>
    <xf numFmtId="0" fontId="0" fillId="9" borderId="0" xfId="0" applyFill="1" applyProtection="1"/>
    <xf numFmtId="0" fontId="13" fillId="3" borderId="16" xfId="0" applyFont="1" applyFill="1" applyBorder="1" applyAlignment="1" applyProtection="1">
      <alignment vertical="center"/>
    </xf>
    <xf numFmtId="0" fontId="8" fillId="0" borderId="7" xfId="0" applyFont="1" applyBorder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8" fillId="0" borderId="7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5" fontId="8" fillId="0" borderId="8" xfId="0" applyNumberFormat="1" applyFont="1" applyBorder="1" applyAlignment="1">
      <alignment horizontal="center"/>
    </xf>
    <xf numFmtId="0" fontId="8" fillId="0" borderId="7" xfId="0" applyFont="1" applyBorder="1" applyAlignment="1" applyProtection="1">
      <alignment horizontal="center" vertical="center"/>
    </xf>
    <xf numFmtId="14" fontId="8" fillId="0" borderId="0" xfId="0" applyNumberFormat="1" applyFont="1" applyAlignment="1" applyProtection="1">
      <alignment horizontal="center" vertical="center"/>
    </xf>
    <xf numFmtId="165" fontId="8" fillId="0" borderId="0" xfId="0" applyNumberFormat="1" applyFont="1" applyAlignment="1" applyProtection="1">
      <alignment horizontal="center" vertical="center"/>
    </xf>
    <xf numFmtId="0" fontId="8" fillId="0" borderId="7" xfId="0" applyFont="1" applyBorder="1" applyAlignment="1" applyProtection="1">
      <alignment horizontal="center"/>
    </xf>
    <xf numFmtId="14" fontId="8" fillId="0" borderId="0" xfId="0" applyNumberFormat="1" applyFont="1" applyAlignment="1" applyProtection="1">
      <alignment horizontal="center"/>
    </xf>
    <xf numFmtId="14" fontId="8" fillId="0" borderId="0" xfId="0" applyNumberFormat="1" applyFont="1" applyProtection="1"/>
    <xf numFmtId="165" fontId="11" fillId="0" borderId="0" xfId="0" applyNumberFormat="1" applyFont="1" applyAlignment="1" applyProtection="1">
      <alignment horizontal="center"/>
    </xf>
    <xf numFmtId="164" fontId="11" fillId="0" borderId="0" xfId="0" applyNumberFormat="1" applyFont="1" applyAlignment="1" applyProtection="1">
      <alignment horizontal="right"/>
      <protection locked="0"/>
    </xf>
    <xf numFmtId="164" fontId="10" fillId="7" borderId="10" xfId="0" applyNumberFormat="1" applyFont="1" applyFill="1" applyBorder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0" fontId="8" fillId="20" borderId="0" xfId="0" applyFont="1" applyFill="1" applyProtection="1">
      <protection locked="0"/>
    </xf>
    <xf numFmtId="14" fontId="8" fillId="20" borderId="0" xfId="0" applyNumberFormat="1" applyFont="1" applyFill="1" applyProtection="1">
      <protection locked="0"/>
    </xf>
    <xf numFmtId="165" fontId="8" fillId="20" borderId="0" xfId="0" applyNumberFormat="1" applyFont="1" applyFill="1" applyProtection="1">
      <protection locked="0"/>
    </xf>
    <xf numFmtId="0" fontId="0" fillId="20" borderId="0" xfId="0" applyFill="1" applyProtection="1">
      <protection locked="0"/>
    </xf>
    <xf numFmtId="0" fontId="6" fillId="20" borderId="0" xfId="0" applyFont="1" applyFill="1" applyProtection="1">
      <protection locked="0"/>
    </xf>
    <xf numFmtId="164" fontId="8" fillId="20" borderId="0" xfId="0" applyNumberFormat="1" applyFont="1" applyFill="1" applyProtection="1">
      <protection locked="0"/>
    </xf>
    <xf numFmtId="44" fontId="8" fillId="20" borderId="0" xfId="0" applyNumberFormat="1" applyFont="1" applyFill="1" applyProtection="1">
      <protection locked="0"/>
    </xf>
    <xf numFmtId="14" fontId="0" fillId="20" borderId="0" xfId="0" applyNumberFormat="1" applyFill="1" applyProtection="1">
      <protection locked="0"/>
    </xf>
    <xf numFmtId="165" fontId="8" fillId="20" borderId="0" xfId="0" applyNumberFormat="1" applyFont="1" applyFill="1" applyAlignment="1" applyProtection="1">
      <alignment horizontal="center"/>
      <protection locked="0"/>
    </xf>
    <xf numFmtId="44" fontId="8" fillId="20" borderId="0" xfId="0" applyNumberFormat="1" applyFont="1" applyFill="1" applyAlignment="1" applyProtection="1">
      <alignment horizontal="center"/>
      <protection locked="0"/>
    </xf>
    <xf numFmtId="0" fontId="8" fillId="20" borderId="0" xfId="0" applyFont="1" applyFill="1" applyAlignment="1" applyProtection="1">
      <alignment horizontal="center"/>
      <protection locked="0"/>
    </xf>
    <xf numFmtId="0" fontId="6" fillId="20" borderId="0" xfId="0" applyFont="1" applyFill="1" applyAlignment="1" applyProtection="1">
      <alignment horizontal="center" vertical="center"/>
      <protection locked="0"/>
    </xf>
    <xf numFmtId="0" fontId="9" fillId="20" borderId="0" xfId="0" applyFont="1" applyFill="1" applyAlignment="1" applyProtection="1">
      <alignment horizontal="center"/>
      <protection locked="0"/>
    </xf>
    <xf numFmtId="0" fontId="6" fillId="20" borderId="0" xfId="0" applyFont="1" applyFill="1" applyAlignment="1">
      <alignment horizontal="center"/>
    </xf>
    <xf numFmtId="164" fontId="6" fillId="20" borderId="0" xfId="0" applyNumberFormat="1" applyFont="1" applyFill="1" applyAlignment="1">
      <alignment horizontal="right" vertical="center"/>
    </xf>
    <xf numFmtId="164" fontId="6" fillId="20" borderId="0" xfId="0" applyNumberFormat="1" applyFont="1" applyFill="1"/>
    <xf numFmtId="164" fontId="6" fillId="20" borderId="0" xfId="0" applyNumberFormat="1" applyFont="1" applyFill="1" applyAlignment="1">
      <alignment horizontal="right"/>
    </xf>
    <xf numFmtId="0" fontId="8" fillId="20" borderId="0" xfId="0" applyFont="1" applyFill="1" applyAlignment="1" applyProtection="1">
      <alignment horizontal="center" vertical="center"/>
      <protection locked="0"/>
    </xf>
    <xf numFmtId="14" fontId="2" fillId="20" borderId="0" xfId="0" applyNumberFormat="1" applyFont="1" applyFill="1" applyProtection="1">
      <protection locked="0"/>
    </xf>
    <xf numFmtId="0" fontId="2" fillId="20" borderId="0" xfId="0" applyFont="1" applyFill="1" applyProtection="1">
      <protection locked="0"/>
    </xf>
    <xf numFmtId="164" fontId="10" fillId="20" borderId="0" xfId="0" applyNumberFormat="1" applyFont="1" applyFill="1" applyAlignment="1">
      <alignment horizontal="center" vertical="center"/>
    </xf>
    <xf numFmtId="0" fontId="11" fillId="20" borderId="0" xfId="0" applyFont="1" applyFill="1" applyProtection="1">
      <protection locked="0"/>
    </xf>
    <xf numFmtId="0" fontId="19" fillId="20" borderId="0" xfId="0" applyFont="1" applyFill="1" applyProtection="1">
      <protection locked="0"/>
    </xf>
    <xf numFmtId="0" fontId="10" fillId="20" borderId="0" xfId="0" applyFont="1" applyFill="1" applyAlignment="1">
      <alignment horizontal="center"/>
    </xf>
    <xf numFmtId="0" fontId="10" fillId="20" borderId="0" xfId="0" applyFont="1" applyFill="1" applyAlignment="1">
      <alignment horizontal="center" vertical="center"/>
    </xf>
    <xf numFmtId="14" fontId="11" fillId="20" borderId="0" xfId="0" applyNumberFormat="1" applyFont="1" applyFill="1" applyProtection="1">
      <protection locked="0"/>
    </xf>
    <xf numFmtId="14" fontId="10" fillId="20" borderId="0" xfId="0" applyNumberFormat="1" applyFont="1" applyFill="1" applyAlignment="1">
      <alignment horizontal="center" vertical="center"/>
    </xf>
    <xf numFmtId="14" fontId="10" fillId="20" borderId="0" xfId="0" applyNumberFormat="1" applyFont="1" applyFill="1" applyAlignment="1">
      <alignment horizontal="center"/>
    </xf>
    <xf numFmtId="0" fontId="4" fillId="20" borderId="0" xfId="0" applyFont="1" applyFill="1" applyAlignment="1" applyProtection="1">
      <alignment horizontal="center"/>
      <protection locked="0"/>
    </xf>
    <xf numFmtId="0" fontId="3" fillId="20" borderId="0" xfId="0" applyFont="1" applyFill="1" applyAlignment="1" applyProtection="1">
      <alignment horizontal="center" vertical="center"/>
      <protection locked="0"/>
    </xf>
    <xf numFmtId="164" fontId="0" fillId="20" borderId="0" xfId="0" applyNumberFormat="1" applyFill="1" applyAlignment="1" applyProtection="1">
      <alignment horizontal="right"/>
      <protection locked="0"/>
    </xf>
    <xf numFmtId="164" fontId="2" fillId="20" borderId="0" xfId="0" applyNumberFormat="1" applyFont="1" applyFill="1" applyAlignment="1" applyProtection="1">
      <alignment horizontal="right"/>
      <protection locked="0"/>
    </xf>
    <xf numFmtId="164" fontId="8" fillId="20" borderId="0" xfId="0" applyNumberFormat="1" applyFont="1" applyFill="1" applyAlignment="1" applyProtection="1">
      <alignment horizontal="right"/>
      <protection locked="0"/>
    </xf>
    <xf numFmtId="164" fontId="6" fillId="7" borderId="5" xfId="0" applyNumberFormat="1" applyFont="1" applyFill="1" applyBorder="1" applyAlignment="1">
      <alignment horizontal="right" vertical="center"/>
    </xf>
    <xf numFmtId="164" fontId="9" fillId="8" borderId="0" xfId="0" applyNumberFormat="1" applyFont="1" applyFill="1" applyAlignment="1">
      <alignment horizontal="center"/>
    </xf>
    <xf numFmtId="164" fontId="8" fillId="0" borderId="0" xfId="0" applyNumberFormat="1" applyFont="1" applyAlignment="1" applyProtection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9" fillId="8" borderId="0" xfId="0" applyFont="1" applyFill="1" applyAlignment="1">
      <alignment horizontal="left"/>
    </xf>
    <xf numFmtId="164" fontId="11" fillId="0" borderId="10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164" fontId="11" fillId="0" borderId="10" xfId="0" applyNumberFormat="1" applyFont="1" applyBorder="1" applyAlignment="1">
      <alignment horizontal="right"/>
    </xf>
    <xf numFmtId="0" fontId="9" fillId="8" borderId="0" xfId="0" applyFont="1" applyFill="1" applyAlignment="1">
      <alignment horizontal="left"/>
    </xf>
    <xf numFmtId="0" fontId="0" fillId="0" borderId="0" xfId="0" applyNumberFormat="1"/>
    <xf numFmtId="164" fontId="10" fillId="0" borderId="13" xfId="0" applyNumberFormat="1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horizontal="center" vertical="center" textRotation="45"/>
    </xf>
    <xf numFmtId="164" fontId="0" fillId="0" borderId="10" xfId="0" applyNumberFormat="1" applyBorder="1" applyAlignment="1">
      <alignment horizontal="center" vertical="center" textRotation="45"/>
    </xf>
    <xf numFmtId="164" fontId="11" fillId="0" borderId="0" xfId="0" applyNumberFormat="1" applyFont="1" applyAlignment="1">
      <alignment horizontal="right"/>
    </xf>
    <xf numFmtId="164" fontId="11" fillId="0" borderId="8" xfId="0" applyNumberFormat="1" applyFont="1" applyBorder="1" applyAlignment="1">
      <alignment horizontal="right"/>
    </xf>
    <xf numFmtId="164" fontId="11" fillId="0" borderId="10" xfId="0" applyNumberFormat="1" applyFont="1" applyBorder="1" applyAlignment="1">
      <alignment horizontal="right"/>
    </xf>
    <xf numFmtId="164" fontId="11" fillId="0" borderId="11" xfId="0" applyNumberFormat="1" applyFont="1" applyBorder="1" applyAlignment="1">
      <alignment horizontal="right"/>
    </xf>
    <xf numFmtId="164" fontId="10" fillId="10" borderId="2" xfId="0" applyNumberFormat="1" applyFont="1" applyFill="1" applyBorder="1" applyAlignment="1">
      <alignment horizontal="right"/>
    </xf>
    <xf numFmtId="164" fontId="10" fillId="10" borderId="3" xfId="0" applyNumberFormat="1" applyFont="1" applyFill="1" applyBorder="1" applyAlignment="1">
      <alignment horizontal="right"/>
    </xf>
    <xf numFmtId="0" fontId="20" fillId="5" borderId="1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9" fillId="8" borderId="0" xfId="0" applyFont="1" applyFill="1" applyAlignment="1">
      <alignment horizontal="left"/>
    </xf>
    <xf numFmtId="0" fontId="9" fillId="8" borderId="8" xfId="0" applyFont="1" applyFill="1" applyBorder="1" applyAlignment="1">
      <alignment horizontal="left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0" fillId="9" borderId="0" xfId="0" applyFill="1" applyBorder="1" applyProtection="1"/>
  </cellXfs>
  <cellStyles count="1">
    <cellStyle name="Normal" xfId="0" builtinId="0"/>
  </cellStyles>
  <dxfs count="189"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theme="9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#,##0.00\ &quot;€&quot;"/>
      <fill>
        <patternFill patternType="solid">
          <fgColor indexed="64"/>
          <bgColor theme="0" tint="-0.249977111117893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64" formatCode="#,##0.00\ &quot;€&quot;"/>
      <alignment horizontal="general" vertical="bottom" textRotation="0" wrapText="0" indent="0" justifyLastLine="0" shrinkToFit="0" readingOrder="0"/>
      <protection locked="1" hidden="0"/>
    </dxf>
    <dxf>
      <numFmt numFmtId="164" formatCode="#,##0.00\ &quot;€&quot;"/>
      <alignment horizontal="general" vertical="bottom" textRotation="0" wrapText="0" indent="0" justifyLastLine="0" shrinkToFit="0" readingOrder="0"/>
      <protection locked="1" hidden="0"/>
    </dxf>
    <dxf>
      <numFmt numFmtId="164" formatCode="#,##0.00\ &quot;€&quot;"/>
      <alignment horizontal="general" vertical="bottom" textRotation="0" wrapText="0" indent="0" justifyLastLine="0" shrinkToFit="0" readingOrder="0"/>
      <protection locked="1" hidden="0"/>
    </dxf>
    <dxf>
      <numFmt numFmtId="164" formatCode="#,##0.00\ &quot;€&quot;"/>
      <alignment horizontal="general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border outline="0">
        <left style="medium">
          <color indexed="64"/>
        </left>
        <right style="thin">
          <color indexed="64"/>
        </right>
      </border>
    </dxf>
    <dxf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solid">
          <fgColor indexed="64"/>
          <bgColor theme="0" tint="-0.249977111117893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numFmt numFmtId="164" formatCode="#,##0.00\ &quot;€&quot;"/>
      <fill>
        <patternFill patternType="solid">
          <fgColor indexed="64"/>
          <bgColor theme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</font>
      <numFmt numFmtId="164" formatCode="#,##0.00\ &quot;€&quot;"/>
      <fill>
        <patternFill patternType="solid">
          <fgColor indexed="64"/>
          <bgColor theme="0" tint="-0.34998626667073579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64" formatCode="#,##0.00\ &quot;€&quot;"/>
      <alignment horizontal="general" vertical="center" textRotation="0" wrapText="0" indent="0" justifyLastLine="0" shrinkToFit="0" readingOrder="0"/>
      <protection locked="1" hidden="0"/>
    </dxf>
    <dxf>
      <numFmt numFmtId="164" formatCode="#,##0.00\ &quot;€&quot;"/>
      <alignment horizontal="general" vertical="center" textRotation="0" wrapText="0" indent="0" justifyLastLine="0" shrinkToFit="0" readingOrder="0"/>
      <protection locked="1" hidden="0"/>
    </dxf>
    <dxf>
      <numFmt numFmtId="164" formatCode="#,##0.00\ &quot;€&quot;"/>
      <alignment horizontal="general" vertical="center" textRotation="0" wrapText="0" indent="0" justifyLastLine="0" shrinkToFit="0" readingOrder="0"/>
      <protection locked="1" hidden="0"/>
    </dxf>
    <dxf>
      <numFmt numFmtId="164" formatCode="#,##0.00\ &quot;€&quot;"/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#,##0.00\ &quot;€&quot;"/>
      <fill>
        <patternFill patternType="solid">
          <fgColor indexed="64"/>
          <bgColor theme="3" tint="0.749992370372631"/>
        </patternFill>
      </fill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164" formatCode="#,##0.00\ &quot;€&quot;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1" hidden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protection locked="1" hidden="0"/>
    </dxf>
    <dxf>
      <border outline="0">
        <left style="medium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border outline="0">
        <left style="medium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_-* #,##0.00\ [$€-40C]_-;\-* #,##0.00\ [$€-40C]_-;_-* &quot;-&quot;??\ [$€-40C]_-;_-@_-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_-* #,##0.00\ [$€-40C]_-;\-* #,##0.00\ [$€-40C]_-;_-* &quot;-&quot;??\ [$€-40C]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_-* #,##0.00\ [$€-40C]_-;\-* #,##0.00\ [$€-40C]_-;_-* &quot;-&quot;??\ [$€-40C]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9933"/>
      <color rgb="FFFFFF99"/>
      <color rgb="FFFDB9EA"/>
      <color rgb="FFFDC7EE"/>
      <color rgb="FFF56565"/>
      <color rgb="FFC0EFF8"/>
      <color rgb="FFFF8989"/>
      <color rgb="FFD1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ysClr val="windowText" lastClr="000000"/>
                </a:solidFill>
              </a:rPr>
              <a:t>Evolution des Economies mensuelle au cours du temps </a:t>
            </a:r>
          </a:p>
        </c:rich>
      </c:tx>
      <c:layout>
        <c:manualLayout>
          <c:xMode val="edge"/>
          <c:yMode val="edge"/>
          <c:x val="0.27755372983967486"/>
          <c:y val="1.8685353000525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ANNUEL'!$B$45</c:f>
              <c:strCache>
                <c:ptCount val="1"/>
                <c:pt idx="0">
                  <c:v>ECONOMIE MENSUEL REALISE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strRef>
              <c:f>'TABLEAU ANNUEL'!$C$48:$N$48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ANNUEL'!$C$45:$N$45</c:f>
              <c:numCache>
                <c:formatCode>#\ ##0.00\ "€"</c:formatCode>
                <c:ptCount val="12"/>
                <c:pt idx="0">
                  <c:v>200.10999999999996</c:v>
                </c:pt>
                <c:pt idx="1">
                  <c:v>669.01</c:v>
                </c:pt>
                <c:pt idx="2">
                  <c:v>-717.21</c:v>
                </c:pt>
                <c:pt idx="3">
                  <c:v>1738.68</c:v>
                </c:pt>
                <c:pt idx="4">
                  <c:v>2041.9199999999998</c:v>
                </c:pt>
                <c:pt idx="5">
                  <c:v>-414.93999999999994</c:v>
                </c:pt>
                <c:pt idx="6">
                  <c:v>-254.19000000000005</c:v>
                </c:pt>
                <c:pt idx="7">
                  <c:v>6110.8700000000008</c:v>
                </c:pt>
                <c:pt idx="8">
                  <c:v>2060.4700000000003</c:v>
                </c:pt>
                <c:pt idx="9">
                  <c:v>1394.3500000000001</c:v>
                </c:pt>
                <c:pt idx="10">
                  <c:v>7662.3600000000006</c:v>
                </c:pt>
                <c:pt idx="11">
                  <c:v>-152.7299999999999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3-4BFC-A848-047EA8A2AAFA}"/>
            </c:ext>
          </c:extLst>
        </c:ser>
        <c:ser>
          <c:idx val="1"/>
          <c:order val="1"/>
          <c:tx>
            <c:strRef>
              <c:f>'TABLEAU ANNUEL'!$B$51</c:f>
              <c:strCache>
                <c:ptCount val="1"/>
                <c:pt idx="0">
                  <c:v>OBJECTIF ECONOMIE MENSUELLLE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rgbClr val="FF0000"/>
                </a:solidFill>
              </a:ln>
              <a:effectLst/>
            </c:spPr>
          </c:marker>
          <c:cat>
            <c:strRef>
              <c:f>'TABLEAU ANNUEL'!$C$48:$N$48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ANNUEL'!$C$51:$N$51</c:f>
              <c:numCache>
                <c:formatCode>#\ ##0.00\ "€"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E3-4BFC-A848-047EA8A2AAFA}"/>
            </c:ext>
          </c:extLst>
        </c:ser>
        <c:ser>
          <c:idx val="2"/>
          <c:order val="2"/>
          <c:tx>
            <c:strRef>
              <c:f>'TABLEAU ANNUEL'!$B$49</c:f>
              <c:strCache>
                <c:ptCount val="1"/>
                <c:pt idx="0">
                  <c:v>PREVISION ECONOMIE MENSUELLE (budget)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cat>
            <c:strRef>
              <c:f>'TABLEAU ANNUEL'!$C$48:$N$48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ANNUEL'!$C$49:$N$49</c:f>
              <c:numCache>
                <c:formatCode>#\ ##0.00\ "€"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992.1</c:v>
                </c:pt>
                <c:pt idx="8">
                  <c:v>0</c:v>
                </c:pt>
                <c:pt idx="9">
                  <c:v>0</c:v>
                </c:pt>
                <c:pt idx="10">
                  <c:v>1441.18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E3-4BFC-A848-047EA8A2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782031"/>
        <c:axId val="1761782511"/>
      </c:lineChart>
      <c:catAx>
        <c:axId val="176178203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1782511"/>
        <c:crosses val="max"/>
        <c:auto val="1"/>
        <c:lblAlgn val="ctr"/>
        <c:lblOffset val="100"/>
        <c:noMultiLvlLbl val="0"/>
      </c:catAx>
      <c:valAx>
        <c:axId val="17617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178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</a:rPr>
              <a:t>ECONOMIE TRIMESTRIELLE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ECONOMIE TRIMESTRIELLE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TRIMESTRIEL'!$C$16:$F$16</c:f>
              <c:numCache>
                <c:formatCode>#\ ##0.00\ "€"</c:formatCode>
                <c:ptCount val="4"/>
                <c:pt idx="0">
                  <c:v>151.90999999999985</c:v>
                </c:pt>
                <c:pt idx="1">
                  <c:v>3365.66</c:v>
                </c:pt>
                <c:pt idx="2">
                  <c:v>0</c:v>
                </c:pt>
                <c:pt idx="3">
                  <c:v>8120.4500000000007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B-4DBA-80D9-93147B1EE00B}"/>
            </c:ext>
          </c:extLst>
        </c:ser>
        <c:ser>
          <c:idx val="1"/>
          <c:order val="1"/>
          <c:tx>
            <c:strRef>
              <c:f>'TABLEAU TRIMESTRIEL'!$B$51</c:f>
              <c:strCache>
                <c:ptCount val="1"/>
                <c:pt idx="0">
                  <c:v>OBJECTIF ECONOMIE TRIMESTRIELLE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TRIMESTRIEL'!$C$51:$F$51</c:f>
              <c:numCache>
                <c:formatCode>#\ ##0.00\ "€"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6925.05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1B-4DBA-80D9-93147B1EE00B}"/>
            </c:ext>
          </c:extLst>
        </c:ser>
        <c:ser>
          <c:idx val="2"/>
          <c:order val="2"/>
          <c:tx>
            <c:strRef>
              <c:f>'TABLEAU TRIMESTRIEL'!$B$49</c:f>
              <c:strCache>
                <c:ptCount val="1"/>
                <c:pt idx="0">
                  <c:v>PREVISION ECONOMIE TRIMESTRIELLE (budget)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TRIMESTRIEL'!$C$49:$F$49</c:f>
              <c:numCache>
                <c:formatCode>#\ ##0.00\ "€"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7917.1500000000005</c:v>
                </c:pt>
                <c:pt idx="3">
                  <c:v>1441.18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1B-4DBA-80D9-93147B1E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55183"/>
        <c:axId val="21758543"/>
      </c:lineChart>
      <c:catAx>
        <c:axId val="2175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58543"/>
        <c:crossesAt val="0"/>
        <c:auto val="1"/>
        <c:lblAlgn val="ctr"/>
        <c:lblOffset val="100"/>
        <c:noMultiLvlLbl val="0"/>
      </c:catAx>
      <c:valAx>
        <c:axId val="217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5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ECONOMIE TRIMESTRIELLE </a:t>
            </a:r>
            <a:r>
              <a:rPr lang="en-US" baseline="0"/>
              <a:t> REALISE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v>ECONOMIE TRIMESTRIELLE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71-4156-92D7-8449126C1D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1EB-45DE-8F24-8C190D159E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7C-4E15-9CC8-359A1F96B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71-4156-92D7-8449126C1D81}"/>
              </c:ext>
            </c:extLst>
          </c:dPt>
          <c:dLbls>
            <c:dLbl>
              <c:idx val="0"/>
              <c:layout>
                <c:manualLayout>
                  <c:x val="-0.10121807144316429"/>
                  <c:y val="0.23923736843542359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71-4156-92D7-8449126C1D81}"/>
                </c:ext>
              </c:extLst>
            </c:dLbl>
            <c:dLbl>
              <c:idx val="3"/>
              <c:layout>
                <c:manualLayout>
                  <c:x val="-3.9325843566439075E-2"/>
                  <c:y val="-1.7021276595744681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71-4156-92D7-8449126C1D8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TRIMESTRIEL'!$C$13:$F$13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TRIMESTRIEL'!$C$16:$F$16</c:f>
              <c:numCache>
                <c:formatCode>#\ ##0.00\ "€"</c:formatCode>
                <c:ptCount val="4"/>
                <c:pt idx="0">
                  <c:v>151.90999999999985</c:v>
                </c:pt>
                <c:pt idx="1">
                  <c:v>3365.66</c:v>
                </c:pt>
                <c:pt idx="2">
                  <c:v>0</c:v>
                </c:pt>
                <c:pt idx="3">
                  <c:v>8120.4500000000007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1-4156-92D7-8449126C1D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9.955555369741749E-3"/>
          <c:y val="0.23187550361557493"/>
          <c:w val="8.3883001059051596E-2"/>
          <c:h val="0.5435161618843399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ysClr val="windowText" lastClr="000000"/>
                </a:solidFill>
              </a:rPr>
              <a:t>Le solde trimestriel vs objectif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TRIMESTRIEL'!$B$53</c:f>
              <c:strCache>
                <c:ptCount val="1"/>
                <c:pt idx="0">
                  <c:v>LE SOLDE BUDGETISE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TRIMESTRIEL'!$C$53:$F$53</c:f>
              <c:numCache>
                <c:formatCode>#\ ##0.00\ "€"</c:formatCode>
                <c:ptCount val="4"/>
                <c:pt idx="0">
                  <c:v>1027.0899999999999</c:v>
                </c:pt>
                <c:pt idx="1">
                  <c:v>4090.4799999999996</c:v>
                </c:pt>
                <c:pt idx="2">
                  <c:v>9532.2199999999975</c:v>
                </c:pt>
                <c:pt idx="3">
                  <c:v>20649.400000000001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1-472E-B315-3E9A5A1D31FB}"/>
            </c:ext>
          </c:extLst>
        </c:ser>
        <c:ser>
          <c:idx val="1"/>
          <c:order val="1"/>
          <c:tx>
            <c:strRef>
              <c:f>'TABLEAU TRIMESTRIEL'!$B$54</c:f>
              <c:strCache>
                <c:ptCount val="1"/>
                <c:pt idx="0">
                  <c:v>LE SOLDE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TRIMESTRIEL'!$C$54:$F$54</c:f>
              <c:numCache>
                <c:formatCode>#\ ##0.00\ "€"</c:formatCode>
                <c:ptCount val="4"/>
                <c:pt idx="0">
                  <c:v>309.87999999999988</c:v>
                </c:pt>
                <c:pt idx="1">
                  <c:v>3675.5399999999991</c:v>
                </c:pt>
                <c:pt idx="2">
                  <c:v>11592.689999999999</c:v>
                </c:pt>
                <c:pt idx="3">
                  <c:v>21154.320000000003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1-472E-B315-3E9A5A1D31FB}"/>
            </c:ext>
          </c:extLst>
        </c:ser>
        <c:ser>
          <c:idx val="2"/>
          <c:order val="2"/>
          <c:tx>
            <c:strRef>
              <c:f>'TABLEAU TRIMESTRIEL'!$B$55</c:f>
              <c:strCache>
                <c:ptCount val="1"/>
                <c:pt idx="0">
                  <c:v>OBJECTIF SOLDE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TRIMESTRIEL'!$C$48:$F$48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'TABLEAU TRIMESTRIEL'!$C$55:$F$55</c:f>
              <c:numCache>
                <c:formatCode>#\ ##0.00\ "€"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1-472E-B315-3E9A5A1D3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841599"/>
        <c:axId val="1761842079"/>
      </c:barChart>
      <c:catAx>
        <c:axId val="17618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1842079"/>
        <c:crosses val="autoZero"/>
        <c:auto val="1"/>
        <c:lblAlgn val="ctr"/>
        <c:lblOffset val="100"/>
        <c:noMultiLvlLbl val="0"/>
      </c:catAx>
      <c:valAx>
        <c:axId val="17618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18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651100</xdr:colOff>
      <xdr:row>48</xdr:row>
      <xdr:rowOff>190500</xdr:rowOff>
    </xdr:from>
    <xdr:to>
      <xdr:col>28</xdr:col>
      <xdr:colOff>315685</xdr:colOff>
      <xdr:row>78</xdr:row>
      <xdr:rowOff>171450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E041C91-065F-8CAF-8FEF-21CADC8B9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452435</xdr:colOff>
      <xdr:row>43</xdr:row>
      <xdr:rowOff>98651</xdr:rowOff>
    </xdr:from>
    <xdr:to>
      <xdr:col>26</xdr:col>
      <xdr:colOff>484188</xdr:colOff>
      <xdr:row>70</xdr:row>
      <xdr:rowOff>150813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0C7D3D2-1E52-B3C3-31AF-6AD362340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149678</xdr:colOff>
      <xdr:row>0</xdr:row>
      <xdr:rowOff>68036</xdr:rowOff>
    </xdr:from>
    <xdr:to>
      <xdr:col>26</xdr:col>
      <xdr:colOff>666750</xdr:colOff>
      <xdr:row>41</xdr:row>
      <xdr:rowOff>176892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2FB546D-50F6-4C12-AF47-19EF39523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74</xdr:row>
      <xdr:rowOff>82094</xdr:rowOff>
    </xdr:from>
    <xdr:to>
      <xdr:col>32</xdr:col>
      <xdr:colOff>508000</xdr:colOff>
      <xdr:row>102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507D287-AC93-BA9C-B9E9-CE2106290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D9DB7EC5-559B-4017-8B8A-923D1637EB89}" autoFormatId="16" applyNumberFormats="0" applyBorderFormats="0" applyFontFormats="0" applyPatternFormats="0" applyAlignmentFormats="0" applyWidthHeightFormats="0">
  <queryTableRefresh nextId="33">
    <queryTableFields count="11">
      <queryTableField id="8" name="Date operation" tableColumnId="8"/>
      <queryTableField id="9" name="Libelle court" tableColumnId="9"/>
      <queryTableField id="10" name="Libelle operation" tableColumnId="10"/>
      <queryTableField id="11" name="Débit euro" tableColumnId="11"/>
      <queryTableField id="12" name="Crédit euro" tableColumnId="12"/>
      <queryTableField id="20" name="Dépense/Revenue" tableColumnId="19"/>
      <queryTableField id="15" name="Montant de transaction" tableColumnId="15"/>
      <queryTableField id="14" name="Montant de l'opération" tableColumnId="14"/>
      <queryTableField id="16" name="MOIS" tableColumnId="16"/>
      <queryTableField id="17" name="Année" tableColumnId="17"/>
      <queryTableField id="18" name="Type operation" tableColumnId="18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AC8FC-61E8-4A2B-B89B-BB4775BE8261}" name="Tableau27" displayName="Tableau27" ref="B6:E19" totalsRowShown="0" headerRowDxfId="188" dataDxfId="186" headerRowBorderDxfId="187" tableBorderDxfId="185" totalsRowBorderDxfId="184">
  <autoFilter ref="B6:E19" xr:uid="{B25AC8FC-61E8-4A2B-B89B-BB4775BE8261}"/>
  <tableColumns count="4">
    <tableColumn id="1" xr3:uid="{A4C1B6CD-BFC6-4D52-880B-7A50BCA8C69B}" name="DESCRIPTION" dataDxfId="183"/>
    <tableColumn id="2" xr3:uid="{8200DECA-FA6E-4430-BF40-D9F514AADAA3}" name="REVENUS" dataDxfId="182"/>
    <tableColumn id="3" xr3:uid="{4BF6645A-588D-4367-A2AC-C267D6A60728}" name="DEPENSES" dataDxfId="181"/>
    <tableColumn id="4" xr3:uid="{FB35C19F-BF2B-4EFB-9C76-E527089CD3E0}" name="ECONOMIE MENSUEL REALISE" dataDxfId="1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CD1518-D25D-42F6-8F09-32B75886D5D2}" name="Tableau38" displayName="Tableau38" ref="B22:K35" totalsRowShown="0" headerRowDxfId="179" dataDxfId="177" headerRowBorderDxfId="178" tableBorderDxfId="176" totalsRowBorderDxfId="175">
  <autoFilter ref="B22:K35" xr:uid="{F3CD1518-D25D-42F6-8F09-32B75886D5D2}"/>
  <tableColumns count="10">
    <tableColumn id="1" xr3:uid="{C29F6DCE-2136-4EDB-87CB-4914C06E2EDE}" name="DESCRIPTION" dataDxfId="174"/>
    <tableColumn id="2" xr3:uid="{3F6559E3-DE3E-4692-AD70-83F622C67CE4}" name="PREVISION ECONOMIE MENSUELLE (budget)" dataDxfId="173"/>
    <tableColumn id="3" xr3:uid="{B3FAEF88-2842-43EB-BD61-94EE46BA2495}" name="ECONOMIE MENSUELLE REALISE" dataDxfId="172"/>
    <tableColumn id="4" xr3:uid="{649D7128-277C-4F5B-A2DC-40D7978F1C8E}" name="OBJECTIF ECONOMIE MENSUELLLE" dataDxfId="171"/>
    <tableColumn id="5" xr3:uid="{8FE58C88-4B77-4A49-AB4F-55F54C21D97E}" name="ECART ECONOMIE MENSUELLE  REALISE / OBJECTIF" dataDxfId="170"/>
    <tableColumn id="6" xr3:uid="{913849DF-5450-4BD7-97AF-E818C4ED4F18}" name="ECART ECONOMIE MENSUELLE REALISE / BUDGET" dataDxfId="169"/>
    <tableColumn id="7" xr3:uid="{DF9A6239-D2C3-427B-9078-8264BF9B66A7}" name="LE SOLDE BUDGETISE" dataDxfId="168"/>
    <tableColumn id="8" xr3:uid="{506C269D-E54C-4E46-BC9C-34BDD5B4EF08}" name="LE SOLDE ACUTELLE" dataDxfId="167"/>
    <tableColumn id="9" xr3:uid="{894A04E6-2EBF-4B38-957B-E0993B03CD0D}" name="OBJECTIF SOLDE" dataDxfId="166"/>
    <tableColumn id="10" xr3:uid="{7596833E-FEEF-4343-B0C6-B999C5D927E8}" name="ECART SOLDE / OBJECTIF SOLDE" dataDxfId="1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12D4E9F-EACA-424D-A892-6FB76FA2D47A}" name="Tableau30" displayName="Tableau30" ref="B42:O45" totalsRowShown="0" headerRowDxfId="164" dataDxfId="163" tableBorderDxfId="162">
  <autoFilter ref="B42:O45" xr:uid="{912D4E9F-EACA-424D-A892-6FB76FA2D47A}"/>
  <tableColumns count="14">
    <tableColumn id="1" xr3:uid="{0D831A24-7B2C-4EE3-9322-AB1E888C8BEB}" name="DESCRIPTION" dataDxfId="161"/>
    <tableColumn id="2" xr3:uid="{C2C0DF07-4DF9-4642-B2F9-70D0EA364961}" name="JANVIER" dataDxfId="160"/>
    <tableColumn id="3" xr3:uid="{526ACA63-718F-4E32-9F65-018A8849E591}" name="FÉVRIER" dataDxfId="159"/>
    <tableColumn id="4" xr3:uid="{359E24C9-4968-4CDE-955B-25BA6DDA63C9}" name="MARS" dataDxfId="158"/>
    <tableColumn id="5" xr3:uid="{E5BB11E8-36B8-42A2-B45B-D0DA86493CDB}" name="AVRIL" dataDxfId="157"/>
    <tableColumn id="6" xr3:uid="{8B7CB462-42E6-4576-BA2A-F38E3F64E7DE}" name="MAI" dataDxfId="156"/>
    <tableColumn id="7" xr3:uid="{0DDC1A31-9030-41B7-A488-43FEBA058225}" name="JUIN" dataDxfId="155"/>
    <tableColumn id="8" xr3:uid="{2458ECF8-8B03-4718-9CB7-8C09EF140EAE}" name="JUILLET" dataDxfId="154"/>
    <tableColumn id="9" xr3:uid="{EAB7C869-9E46-49B8-92A5-E8003DD02956}" name="AOÛT" dataDxfId="153"/>
    <tableColumn id="10" xr3:uid="{3C8DE69B-1CA4-4B20-8F8D-4A44A7D76F4C}" name="SEPTEMBRE" dataDxfId="152"/>
    <tableColumn id="11" xr3:uid="{678B0AD1-A601-4228-8B48-118CED3674DE}" name="OCTOBRE" dataDxfId="151"/>
    <tableColumn id="12" xr3:uid="{B2A41EE3-D24E-4855-9EB6-0C430D55B301}" name="NOVEMBRE" dataDxfId="150"/>
    <tableColumn id="13" xr3:uid="{15AE824F-B350-4EDC-9D83-0DD385FF21F7}" name="DÉCEMBRE" dataDxfId="149"/>
    <tableColumn id="14" xr3:uid="{5F18A9DC-BF01-4DA0-B450-376777AF4209}" name="TOTAL ANNUEL" dataDxfId="148">
      <calculatedColumnFormula>SUM(C43:N43)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8E749B2-BE26-4AF8-8EE3-23CE886498C6}" name="Tableau31" displayName="Tableau31" ref="B48:O57" totalsRowShown="0" headerRowDxfId="147" dataDxfId="146" tableBorderDxfId="145">
  <autoFilter ref="B48:O57" xr:uid="{F8E749B2-BE26-4AF8-8EE3-23CE886498C6}"/>
  <tableColumns count="14">
    <tableColumn id="1" xr3:uid="{E91B0EA9-9FF7-4302-963C-64B62FAA885E}" name="DESCRIPTION" dataDxfId="144"/>
    <tableColumn id="2" xr3:uid="{B802DF93-5F3A-4AD6-911C-7C74E5C83999}" name="JANVIER" dataDxfId="143"/>
    <tableColumn id="3" xr3:uid="{6C476504-96AE-4671-8164-AC27EBD77F22}" name="FÉVRIER" dataDxfId="142"/>
    <tableColumn id="4" xr3:uid="{02AFA616-0B48-4E42-8F45-C65E57FA29CD}" name="MARS" dataDxfId="141"/>
    <tableColumn id="5" xr3:uid="{BC871CFF-0763-4110-920D-38FFCC74C08E}" name="AVRIL" dataDxfId="140"/>
    <tableColumn id="6" xr3:uid="{DAD5AF51-67CA-4CCD-BE13-7821A48F8AC1}" name="MAI" dataDxfId="139"/>
    <tableColumn id="7" xr3:uid="{352FDE7B-FA77-4B39-BC71-199181AFCA23}" name="JUIN" dataDxfId="138"/>
    <tableColumn id="8" xr3:uid="{DDACCFC4-4A1E-48BC-A1B0-2E46475F1123}" name="JUILLET" dataDxfId="137"/>
    <tableColumn id="9" xr3:uid="{E91CAB46-5A33-4B66-88AB-7BAC99B9789F}" name="AOÛT" dataDxfId="136"/>
    <tableColumn id="10" xr3:uid="{84078618-5536-494E-BDC8-77929E29A255}" name="SEPTEMBRE" dataDxfId="135"/>
    <tableColumn id="11" xr3:uid="{44C8442B-FC9F-4C55-9060-B2DE2E0E56A4}" name="OCTOBRE" dataDxfId="134"/>
    <tableColumn id="12" xr3:uid="{80E23414-B8B9-44D6-A555-F004BC86F7F4}" name="NOVEMBRE" dataDxfId="133"/>
    <tableColumn id="13" xr3:uid="{80CC65DF-E122-4179-B54A-4BE63942C9E4}" name="DÉCEMBRE" dataDxfId="132"/>
    <tableColumn id="14" xr3:uid="{374C4BFA-20A5-40A0-ABEA-244E02FB2608}" name="TOTAL ANNUEL" dataDxfId="1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2DA0BD-2C5D-488C-9659-36F3F6ECCDBB}" name="Tableau28" displayName="Tableau28" ref="B4:E9" totalsRowShown="0" headerRowDxfId="130" dataDxfId="128" headerRowBorderDxfId="129" tableBorderDxfId="127" totalsRowBorderDxfId="126">
  <autoFilter ref="B4:E9" xr:uid="{082DA0BD-2C5D-488C-9659-36F3F6ECCDBB}"/>
  <tableColumns count="4">
    <tableColumn id="1" xr3:uid="{64745F7D-3F92-416B-9DE2-73AA9691E234}" name="TRIMESTRE" dataDxfId="125"/>
    <tableColumn id="2" xr3:uid="{21D37D0D-2E3B-47F3-874B-325B4E47FA18}" name="REVENUS" dataDxfId="124"/>
    <tableColumn id="3" xr3:uid="{5DA940C5-FEB2-447E-8BB1-DFD7CB4CEFE7}" name="DEPENSES" dataDxfId="123"/>
    <tableColumn id="8" xr3:uid="{C6D2BEFA-31AF-428D-BC10-45BE884DA8EB}" name="ECONOMIE TRIMESTRIELLE" dataDxfId="1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C46B897-B3B5-4238-A2FF-943F02A7A909}" name="Tableau29" displayName="Tableau29" ref="B13:G16" totalsRowShown="0" headerRowDxfId="121" dataDxfId="120" tableBorderDxfId="119">
  <autoFilter ref="B13:G16" xr:uid="{AC46B897-B3B5-4238-A2FF-943F02A7A909}"/>
  <tableColumns count="6">
    <tableColumn id="1" xr3:uid="{742A74C3-7A66-4573-A1FE-AB45EFFD52B8}" name="TRIMESTRE" dataDxfId="118"/>
    <tableColumn id="2" xr3:uid="{6E1D5101-116D-4C3D-BB83-51D0383B686C}" name="T1" dataDxfId="117">
      <calculatedColumnFormula>SUM(C41:E41)</calculatedColumnFormula>
    </tableColumn>
    <tableColumn id="3" xr3:uid="{7DAEC771-D28B-4474-A910-7DC5AE57C0DB}" name="T2" dataDxfId="116">
      <calculatedColumnFormula>SUM(F41:H41)</calculatedColumnFormula>
    </tableColumn>
    <tableColumn id="4" xr3:uid="{FE3A8357-A7D5-4FBB-AB0E-D2CD5B8438C7}" name="T3" dataDxfId="115">
      <calculatedColumnFormula>SUM(I42:K42)</calculatedColumnFormula>
    </tableColumn>
    <tableColumn id="5" xr3:uid="{E3DC3B78-5389-4019-9F62-E316CC0DBD6F}" name="T4" dataDxfId="114">
      <calculatedColumnFormula>SUM(L41:N41)</calculatedColumnFormula>
    </tableColumn>
    <tableColumn id="6" xr3:uid="{401BEF65-CF77-4C4B-B34B-885557005481}" name="TOTAL ANNUEL" dataDxfId="113">
      <calculatedColumnFormula>SUM(C14:F14)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69C602-20D1-4C50-AE61-BFC0C5D5BF31}" name="Tableau37" displayName="Tableau37" ref="B28:G36" totalsRowShown="0" headerRowDxfId="112" dataDxfId="111" tableBorderDxfId="110">
  <autoFilter ref="B28:G36" xr:uid="{D469C602-20D1-4C50-AE61-BFC0C5D5BF31}"/>
  <tableColumns count="6">
    <tableColumn id="1" xr3:uid="{84E8770A-BD83-4F3E-AAB0-CE693F4D99E0}" name="TRISMESTRE" dataDxfId="109"/>
    <tableColumn id="2" xr3:uid="{440166AF-BD25-437B-8661-87D080A89CA5}" name="T1" dataDxfId="108"/>
    <tableColumn id="3" xr3:uid="{F12547EF-92E0-4A0D-8F12-B842E65EBF05}" name="T2" dataDxfId="107"/>
    <tableColumn id="4" xr3:uid="{4A02EF21-A77C-405A-A2A5-9F14DB74F297}" name="T3" dataDxfId="106"/>
    <tableColumn id="5" xr3:uid="{65FB309F-5F89-449F-BD5C-5C21D3692AEA}" name="T4" dataDxfId="105"/>
    <tableColumn id="6" xr3:uid="{C3DE64D5-4252-4173-89F1-B38D367E6CC1}" name="TOTAL ANNUEL " dataDxfId="10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06AB1E-0F8D-4701-946E-0292E8920F43}" name="Tableau39" displayName="Tableau39" ref="B20:J25" totalsRowShown="0" headerRowDxfId="103" dataDxfId="102" tableBorderDxfId="101">
  <autoFilter ref="B20:J25" xr:uid="{3706AB1E-0F8D-4701-946E-0292E8920F43}"/>
  <tableColumns count="9">
    <tableColumn id="1" xr3:uid="{66AFD842-2211-4498-B3A7-64C8FF162ECC}" name="TRISMESTRE" dataDxfId="100" totalsRowDxfId="99"/>
    <tableColumn id="2" xr3:uid="{F587311D-E889-4520-A9C1-0D45DE85F39F}" name="PREVISION ECONOMIE TRIMESTRIELLE (budget)" dataDxfId="98" totalsRowDxfId="97"/>
    <tableColumn id="3" xr3:uid="{46687ADC-A456-4D95-A0A3-CEC161E03386}" name="ECONOMIE TRIMESTRIELLE  REALISE" dataDxfId="96" totalsRowDxfId="95"/>
    <tableColumn id="4" xr3:uid="{9E341D6B-7012-4686-83F3-F5B517CAC6DD}" name="OBJECTIF ECONOMIE TRIMESTRIELLE" dataDxfId="94" totalsRowDxfId="93"/>
    <tableColumn id="5" xr3:uid="{89B420BC-E954-44C3-BCB5-2364A40CACFB}" name="ECART ECONOMIE - OBJECTIF" dataDxfId="92" totalsRowDxfId="91">
      <calculatedColumnFormula>D21-E21</calculatedColumnFormula>
    </tableColumn>
    <tableColumn id="6" xr3:uid="{28E6CFDC-BE50-46BA-B840-F9C57DCC4259}" name="LE SOLDE BUDGETISE" dataDxfId="90" totalsRowDxfId="89"/>
    <tableColumn id="7" xr3:uid="{3694FB5D-7D5B-4F92-81B0-57818E810EE0}" name="LE SOLDE " dataDxfId="88" totalsRowDxfId="87"/>
    <tableColumn id="8" xr3:uid="{B4B1C702-E0D6-4985-AA52-2ABAEE58A0BA}" name="OBJECTIF SOLDE" dataDxfId="86" totalsRowDxfId="85"/>
    <tableColumn id="9" xr3:uid="{06C93CB1-31B7-47A7-9332-B8026841DDA5}" name="ECART SOLDE" dataDxfId="84" totalsRowDxfId="8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44E5F88-941D-45FD-9A9B-147B702849BD}" name="Tableau32" displayName="Tableau32" ref="B48:G56" totalsRowShown="0" headerRowDxfId="82" dataDxfId="81" tableBorderDxfId="80">
  <autoFilter ref="B48:G56" xr:uid="{044E5F88-941D-45FD-9A9B-147B702849BD}"/>
  <tableColumns count="6">
    <tableColumn id="1" xr3:uid="{795CBC30-4448-45C3-885C-D4212298297B}" name="TRISMESTRE" dataDxfId="79"/>
    <tableColumn id="2" xr3:uid="{E4F328DF-0733-4F57-8A57-8312AFC6E6B5}" name="T1" dataDxfId="78"/>
    <tableColumn id="3" xr3:uid="{4746D664-01CF-4F76-A02B-7C41226B6074}" name="T2" dataDxfId="77"/>
    <tableColumn id="4" xr3:uid="{C315294E-6863-4F42-90BD-1D2A707C3A38}" name="T3" dataDxfId="76"/>
    <tableColumn id="5" xr3:uid="{DBE1176B-EAB6-414C-9E17-21D194325398}" name="T4" dataDxfId="75"/>
    <tableColumn id="6" xr3:uid="{CD4B73FF-5A93-4FF3-A8E2-9912C19E7073}" name="TOTAL ANNUEL" dataDxfId="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0A094-B72E-4E89-B962-E3936A89C6D6}" name="Tableau2" displayName="Tableau2" ref="B40:N43" totalsRowShown="0" headerRowDxfId="73" dataDxfId="72" tableBorderDxfId="71">
  <autoFilter ref="B40:N43" xr:uid="{F890A094-B72E-4E89-B962-E3936A89C6D6}"/>
  <tableColumns count="13">
    <tableColumn id="1" xr3:uid="{095D0A36-1979-4BC1-BF64-6FCF6C025C40}" name="MOIS" dataDxfId="70"/>
    <tableColumn id="2" xr3:uid="{C2B654A2-85B5-45B4-AC99-F7B88FCD693B}" name="JANVIER" dataDxfId="69"/>
    <tableColumn id="3" xr3:uid="{C11B7E06-A667-4DA2-8457-D44436ED501D}" name="FÉVRIER" dataDxfId="68"/>
    <tableColumn id="4" xr3:uid="{4C55DDBC-E8FA-4CF0-910E-C0B43CFEE68E}" name="MARS" dataDxfId="67"/>
    <tableColumn id="5" xr3:uid="{2B4699F3-F1AA-4A10-A845-543FB9656BD6}" name="AVRIL" dataDxfId="66"/>
    <tableColumn id="6" xr3:uid="{5ED69593-FC3C-4C6C-ACA9-4758C635C643}" name="MAI" dataDxfId="65"/>
    <tableColumn id="7" xr3:uid="{47F30BF5-9DF3-48B6-8F2F-71F6E4C0AED5}" name="JUIN" dataDxfId="64"/>
    <tableColumn id="8" xr3:uid="{47859112-F86A-4E89-9745-41FDE05E7ED3}" name="JUILLET" dataDxfId="63"/>
    <tableColumn id="9" xr3:uid="{9E12218B-5C06-4793-9AAB-FEA961FA58E7}" name="AOÛT" dataDxfId="62"/>
    <tableColumn id="10" xr3:uid="{273C74BC-2461-4892-83CF-9C56A7E7A623}" name="SEPTEMBRE" dataDxfId="61"/>
    <tableColumn id="11" xr3:uid="{E8EDD331-51F0-41E7-9F97-DE35AA8F2AE5}" name="OCTOBRE" dataDxfId="60"/>
    <tableColumn id="12" xr3:uid="{D1CF9A1B-1A47-42DB-894E-B6DFED1F102E}" name="NOVEMBRE" dataDxfId="59"/>
    <tableColumn id="13" xr3:uid="{6D47FACF-DB36-4650-94E4-03C55158171C}" name="DÉCEMBRE" dataDxfId="5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C168C-E6DF-434D-9FAD-A3FCFA6E701A}" name="Transaction" displayName="Transaction" ref="A1:K998" tableType="queryTable" totalsRowShown="0">
  <autoFilter ref="A1:K998" xr:uid="{4CC02EBF-ED0B-438D-B7BD-55AFD0E5F6D3}"/>
  <tableColumns count="11">
    <tableColumn id="8" xr3:uid="{00EACA4E-5193-4683-BC3B-AF640816A95E}" uniqueName="8" name="Date operation" queryTableFieldId="8" dataDxfId="57"/>
    <tableColumn id="9" xr3:uid="{A6F17C51-229C-4962-90F2-909923AA96A4}" uniqueName="9" name="Libelle court" queryTableFieldId="9" dataDxfId="56"/>
    <tableColumn id="10" xr3:uid="{814C1A91-3F57-4DB8-8652-E3FAC88AAE8F}" uniqueName="10" name="Libelle operation" queryTableFieldId="10" dataDxfId="55"/>
    <tableColumn id="11" xr3:uid="{B9F71CF3-6560-4030-A592-196B0505F470}" uniqueName="11" name="Débit euro" queryTableFieldId="11"/>
    <tableColumn id="12" xr3:uid="{F0A9212B-FD61-4C17-89FB-41F6F8CBEEF9}" uniqueName="12" name="Crédit euro" queryTableFieldId="12"/>
    <tableColumn id="19" xr3:uid="{478BA781-266C-4CE7-950D-F535C29DC735}" uniqueName="19" name="Dépense/Revenue" queryTableFieldId="20"/>
    <tableColumn id="15" xr3:uid="{2812A359-2A3D-4BBE-8037-8472641F46AF}" uniqueName="15" name="Montant de transaction" queryTableFieldId="15"/>
    <tableColumn id="14" xr3:uid="{BC26F3E7-362F-4F5B-A066-6D151ED770DB}" uniqueName="14" name="Montant de l'opération" queryTableFieldId="14"/>
    <tableColumn id="16" xr3:uid="{10D10D77-D8CD-4E84-8DF3-CA1B570A9424}" uniqueName="16" name="MOIS" queryTableFieldId="16"/>
    <tableColumn id="17" xr3:uid="{77870CDE-3445-4C79-9A9A-4064FBC60E65}" uniqueName="17" name="Année" queryTableFieldId="17"/>
    <tableColumn id="18" xr3:uid="{B99A26FD-0355-48F7-806C-3716BC2D4632}" uniqueName="18" name="Type operation" queryTableFieldId="18" dataDxfId="5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0E689A-7A33-449E-B078-EA3BF2EE6961}" name="Param_Path" displayName="Param_Path" ref="M1:M2" totalsRowShown="0">
  <autoFilter ref="M1:M2" xr:uid="{FE0E689A-7A33-449E-B078-EA3BF2EE6961}"/>
  <tableColumns count="1">
    <tableColumn id="1" xr3:uid="{B1EE7D1C-B804-4958-A984-F6C24EC54DAD}" name="Param_Path">
      <calculatedColumnFormula array="1">_xlfn.TEXTBEFORE(CELL("filename"),"\[")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AE34-B2B7-4DAB-8EB9-4A6DE5864552}">
  <dimension ref="A1:O12"/>
  <sheetViews>
    <sheetView tabSelected="1" workbookViewId="0">
      <selection activeCell="K6" sqref="K6"/>
    </sheetView>
  </sheetViews>
  <sheetFormatPr baseColWidth="10" defaultRowHeight="15" x14ac:dyDescent="0.25"/>
  <cols>
    <col min="1" max="1" width="28.85546875" style="180" bestFit="1" customWidth="1"/>
    <col min="2" max="2" width="11.42578125" style="180"/>
    <col min="3" max="3" width="13.5703125" style="180" customWidth="1"/>
    <col min="4" max="16384" width="11.42578125" style="180"/>
  </cols>
  <sheetData>
    <row r="1" spans="1:15" ht="64.5" thickBot="1" x14ac:dyDescent="0.3">
      <c r="C1" s="291" t="s">
        <v>0</v>
      </c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3"/>
    </row>
    <row r="2" spans="1:15" ht="64.5" thickBot="1" x14ac:dyDescent="0.3">
      <c r="A2" s="181" t="s">
        <v>99</v>
      </c>
      <c r="C2" s="288">
        <v>2026</v>
      </c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90"/>
    </row>
    <row r="5" spans="1:15" ht="15" customHeight="1" x14ac:dyDescent="0.25"/>
    <row r="12" spans="1:15" x14ac:dyDescent="0.25">
      <c r="E12" s="294"/>
    </row>
  </sheetData>
  <sheetProtection formatColumns="0" formatRows="0" insertColumns="0" insertRows="0" insertHyperlinks="0" deleteColumns="0" deleteRows="0" selectLockedCells="1"/>
  <mergeCells count="2">
    <mergeCell ref="C1:O1"/>
    <mergeCell ref="C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3966-B001-458E-BA52-CCC7A4A59DCA}">
  <sheetPr codeName="Feuil1"/>
  <dimension ref="B1:O61"/>
  <sheetViews>
    <sheetView zoomScale="50" zoomScaleNormal="50" workbookViewId="0">
      <selection activeCell="B2" sqref="B2:N2"/>
    </sheetView>
  </sheetViews>
  <sheetFormatPr baseColWidth="10" defaultColWidth="10.7109375" defaultRowHeight="15" x14ac:dyDescent="0.25"/>
  <cols>
    <col min="1" max="1" width="6.42578125" customWidth="1"/>
    <col min="2" max="2" width="93" bestFit="1" customWidth="1"/>
    <col min="3" max="3" width="97" customWidth="1"/>
    <col min="4" max="4" width="74.85546875" bestFit="1" customWidth="1"/>
    <col min="5" max="5" width="80.140625" bestFit="1" customWidth="1"/>
    <col min="6" max="6" width="116.28515625" bestFit="1" customWidth="1"/>
    <col min="7" max="7" width="111.42578125" bestFit="1" customWidth="1"/>
    <col min="8" max="8" width="33.42578125" bestFit="1" customWidth="1"/>
    <col min="9" max="9" width="75.42578125" bestFit="1" customWidth="1"/>
    <col min="10" max="10" width="43.42578125" bestFit="1" customWidth="1"/>
    <col min="11" max="11" width="41.42578125" customWidth="1"/>
    <col min="12" max="12" width="23.28515625" customWidth="1"/>
    <col min="13" max="13" width="26.42578125" customWidth="1"/>
    <col min="14" max="14" width="26.140625" customWidth="1"/>
    <col min="15" max="15" width="33.7109375" customWidth="1"/>
  </cols>
  <sheetData>
    <row r="1" spans="2:14" ht="65.25" customHeight="1" thickBot="1" x14ac:dyDescent="0.3">
      <c r="B1" s="254" t="s">
        <v>0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6"/>
    </row>
    <row r="2" spans="2:14" ht="64.5" thickBot="1" x14ac:dyDescent="0.3">
      <c r="B2" s="250">
        <f>ANNEE!C2</f>
        <v>2026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2"/>
    </row>
    <row r="6" spans="2:14" ht="21" customHeight="1" x14ac:dyDescent="0.35">
      <c r="B6" s="92" t="s">
        <v>26</v>
      </c>
      <c r="C6" s="93" t="s">
        <v>2</v>
      </c>
      <c r="D6" s="93" t="s">
        <v>89</v>
      </c>
      <c r="E6" s="94" t="s">
        <v>49</v>
      </c>
      <c r="F6" s="95"/>
      <c r="G6" s="95"/>
    </row>
    <row r="7" spans="2:14" ht="24.95" customHeight="1" x14ac:dyDescent="0.35">
      <c r="B7" s="96" t="s">
        <v>3</v>
      </c>
      <c r="C7" s="5" cm="1">
        <f t="array" aca="1" ref="C7" ca="1">INDIRECT("'" &amp; $B7 &amp; "'!G24")</f>
        <v>628.41999999999996</v>
      </c>
      <c r="D7" s="5" cm="1">
        <f t="array" aca="1" ref="D7" ca="1">INDIRECT("'" &amp; $B7 &amp; "'!G25")</f>
        <v>428.31</v>
      </c>
      <c r="E7" s="6">
        <f ca="1">Tableau27[[#This Row],[REVENUS]]-Tableau27[[#This Row],[DEPENSES]]</f>
        <v>200.10999999999996</v>
      </c>
      <c r="F7" s="95"/>
      <c r="G7" s="95"/>
    </row>
    <row r="8" spans="2:14" ht="21" customHeight="1" x14ac:dyDescent="0.35">
      <c r="B8" s="96" t="s">
        <v>4</v>
      </c>
      <c r="C8" s="5" cm="1">
        <f t="array" aca="1" ref="C8" ca="1">INDIRECT("'" &amp; $B8 &amp; "'!G24")</f>
        <v>1154.22</v>
      </c>
      <c r="D8" s="5" cm="1">
        <f t="array" aca="1" ref="D8" ca="1">INDIRECT("'" &amp; $B8 &amp; "'!G25")</f>
        <v>485.21000000000004</v>
      </c>
      <c r="E8" s="6">
        <f ca="1">Tableau27[[#This Row],[REVENUS]]-Tableau27[[#This Row],[DEPENSES]]</f>
        <v>669.01</v>
      </c>
      <c r="F8" s="95"/>
      <c r="G8" s="95"/>
    </row>
    <row r="9" spans="2:14" ht="21" customHeight="1" x14ac:dyDescent="0.35">
      <c r="B9" s="96" t="s">
        <v>5</v>
      </c>
      <c r="C9" s="5" cm="1">
        <f t="array" aca="1" ref="C9" ca="1">INDIRECT("'" &amp; $B9 &amp; "'!G24")</f>
        <v>0</v>
      </c>
      <c r="D9" s="5" cm="1">
        <f t="array" aca="1" ref="D9" ca="1">INDIRECT("'" &amp; $B9 &amp; "'!G25")</f>
        <v>717.21</v>
      </c>
      <c r="E9" s="6">
        <f ca="1">Tableau27[[#This Row],[REVENUS]]-Tableau27[[#This Row],[DEPENSES]]</f>
        <v>-717.21</v>
      </c>
      <c r="F9" s="95"/>
      <c r="G9" s="95"/>
    </row>
    <row r="10" spans="2:14" ht="21" customHeight="1" x14ac:dyDescent="0.35">
      <c r="B10" s="96" t="s">
        <v>6</v>
      </c>
      <c r="C10" s="5" cm="1">
        <f t="array" aca="1" ref="C10" ca="1">INDIRECT("'" &amp; $B10 &amp; "'!G24")</f>
        <v>2194.19</v>
      </c>
      <c r="D10" s="5" cm="1">
        <f t="array" aca="1" ref="D10" ca="1">INDIRECT("'" &amp; $B10 &amp; "'!G25")</f>
        <v>455.51</v>
      </c>
      <c r="E10" s="6">
        <f ca="1">Tableau27[[#This Row],[REVENUS]]-Tableau27[[#This Row],[DEPENSES]]</f>
        <v>1738.68</v>
      </c>
      <c r="F10" s="95"/>
      <c r="G10" s="95"/>
    </row>
    <row r="11" spans="2:14" ht="21" customHeight="1" x14ac:dyDescent="0.35">
      <c r="B11" s="96" t="s">
        <v>7</v>
      </c>
      <c r="C11" s="5" cm="1">
        <f t="array" aca="1" ref="C11" ca="1">INDIRECT("'" &amp; $B11 &amp; "'!G24")</f>
        <v>2611.62</v>
      </c>
      <c r="D11" s="5" cm="1">
        <f t="array" aca="1" ref="D11" ca="1">INDIRECT("'" &amp; $B11 &amp; "'!G25")</f>
        <v>569.70000000000005</v>
      </c>
      <c r="E11" s="6">
        <f ca="1">Tableau27[[#This Row],[REVENUS]]-Tableau27[[#This Row],[DEPENSES]]</f>
        <v>2041.9199999999998</v>
      </c>
      <c r="F11" s="95"/>
      <c r="G11" s="95"/>
    </row>
    <row r="12" spans="2:14" ht="21" customHeight="1" x14ac:dyDescent="0.35">
      <c r="B12" s="96" t="s">
        <v>8</v>
      </c>
      <c r="C12" s="5" cm="1">
        <f t="array" aca="1" ref="C12" ca="1">INDIRECT("'" &amp; $B12 &amp; "'!G24")</f>
        <v>693.57</v>
      </c>
      <c r="D12" s="5" cm="1">
        <f t="array" aca="1" ref="D12" ca="1">INDIRECT("'" &amp; $B12 &amp; "'!G25")</f>
        <v>1108.51</v>
      </c>
      <c r="E12" s="6">
        <f ca="1">Tableau27[[#This Row],[REVENUS]]-Tableau27[[#This Row],[DEPENSES]]</f>
        <v>-414.93999999999994</v>
      </c>
      <c r="F12" s="95"/>
      <c r="G12" s="95"/>
    </row>
    <row r="13" spans="2:14" ht="21" customHeight="1" x14ac:dyDescent="0.35">
      <c r="B13" s="96" t="s">
        <v>9</v>
      </c>
      <c r="C13" s="5" cm="1">
        <f t="array" aca="1" ref="C13" ca="1">INDIRECT("'" &amp; $B13 &amp; "'!G24")</f>
        <v>853.81</v>
      </c>
      <c r="D13" s="5" cm="1">
        <f t="array" aca="1" ref="D13" ca="1">INDIRECT("'" &amp; $B13 &amp; "'!G25")</f>
        <v>1108</v>
      </c>
      <c r="E13" s="6">
        <f ca="1">Tableau27[[#This Row],[REVENUS]]-Tableau27[[#This Row],[DEPENSES]]</f>
        <v>-254.19000000000005</v>
      </c>
      <c r="F13" s="95"/>
      <c r="G13" s="95"/>
    </row>
    <row r="14" spans="2:14" ht="21" customHeight="1" x14ac:dyDescent="0.35">
      <c r="B14" s="96" t="s">
        <v>10</v>
      </c>
      <c r="C14" s="5" cm="1">
        <f t="array" aca="1" ref="C14" ca="1">INDIRECT("'" &amp; $B14 &amp; "'!G24")</f>
        <v>6589.4100000000008</v>
      </c>
      <c r="D14" s="5" cm="1">
        <f t="array" aca="1" ref="D14" ca="1">INDIRECT("'" &amp; $B14 &amp; "'!G25")</f>
        <v>478.54</v>
      </c>
      <c r="E14" s="6">
        <f ca="1">Tableau27[[#This Row],[REVENUS]]-Tableau27[[#This Row],[DEPENSES]]</f>
        <v>6110.8700000000008</v>
      </c>
      <c r="F14" s="95"/>
      <c r="G14" s="95"/>
    </row>
    <row r="15" spans="2:14" ht="21" customHeight="1" x14ac:dyDescent="0.35">
      <c r="B15" s="96" t="s">
        <v>11</v>
      </c>
      <c r="C15" s="5" cm="1">
        <f t="array" aca="1" ref="C15" ca="1">INDIRECT("'" &amp; $B15 &amp; "'!G24")</f>
        <v>2567.54</v>
      </c>
      <c r="D15" s="5" cm="1">
        <f t="array" aca="1" ref="D15" ca="1">INDIRECT("'" &amp; $B15 &amp; "'!G25")</f>
        <v>507.06999999999994</v>
      </c>
      <c r="E15" s="6">
        <f ca="1">Tableau27[[#This Row],[REVENUS]]-Tableau27[[#This Row],[DEPENSES]]</f>
        <v>2060.4700000000003</v>
      </c>
      <c r="F15" s="95"/>
      <c r="G15" s="95"/>
    </row>
    <row r="16" spans="2:14" ht="21" customHeight="1" x14ac:dyDescent="0.35">
      <c r="B16" s="96" t="s">
        <v>12</v>
      </c>
      <c r="C16" s="5" cm="1">
        <f t="array" aca="1" ref="C16" ca="1">INDIRECT("'" &amp; $B16 &amp; "'!G24")</f>
        <v>2200.61</v>
      </c>
      <c r="D16" s="5" cm="1">
        <f t="array" aca="1" ref="D16" ca="1">INDIRECT("'" &amp; $B16 &amp; "'!G25")</f>
        <v>806.26</v>
      </c>
      <c r="E16" s="6">
        <f ca="1">Tableau27[[#This Row],[REVENUS]]-Tableau27[[#This Row],[DEPENSES]]</f>
        <v>1394.3500000000001</v>
      </c>
      <c r="F16" s="95"/>
      <c r="G16" s="95"/>
    </row>
    <row r="17" spans="2:11" ht="21" customHeight="1" x14ac:dyDescent="0.35">
      <c r="B17" s="96" t="s">
        <v>13</v>
      </c>
      <c r="C17" s="5" cm="1">
        <f t="array" aca="1" ref="C17" ca="1">INDIRECT("'" &amp; $B17 &amp; "'!G24")</f>
        <v>8244.61</v>
      </c>
      <c r="D17" s="5" cm="1">
        <f t="array" aca="1" ref="D17" ca="1">INDIRECT("'" &amp; $B17 &amp; "'!G25")</f>
        <v>582.25</v>
      </c>
      <c r="E17" s="6">
        <f ca="1">Tableau27[[#This Row],[REVENUS]]-Tableau27[[#This Row],[DEPENSES]]</f>
        <v>7662.3600000000006</v>
      </c>
      <c r="F17" s="95"/>
      <c r="G17" s="95"/>
    </row>
    <row r="18" spans="2:11" ht="21" customHeight="1" x14ac:dyDescent="0.35">
      <c r="B18" s="96" t="s">
        <v>14</v>
      </c>
      <c r="C18" s="5" cm="1">
        <f t="array" aca="1" ref="C18" ca="1">INDIRECT("'" &amp; $B18 &amp; "'!G24")</f>
        <v>1351.22</v>
      </c>
      <c r="D18" s="5" cm="1">
        <f t="array" aca="1" ref="D18" ca="1">INDIRECT("'" &amp; $B18 &amp; "'!G25")</f>
        <v>846.3</v>
      </c>
      <c r="E18" s="6">
        <f ca="1">Tableau27[[#This Row],[REVENUS]]-Tableau27[[#This Row],[DEPENSES]]</f>
        <v>504.92000000000007</v>
      </c>
      <c r="F18" s="95"/>
      <c r="G18" s="95"/>
    </row>
    <row r="19" spans="2:11" ht="21" customHeight="1" x14ac:dyDescent="0.35">
      <c r="B19" s="97" t="s">
        <v>1</v>
      </c>
      <c r="C19" s="7">
        <f t="shared" ref="C19:D19" ca="1" si="0">SUM(C7:C18)</f>
        <v>29089.220000000005</v>
      </c>
      <c r="D19" s="7">
        <f t="shared" ca="1" si="0"/>
        <v>8092.87</v>
      </c>
      <c r="E19" s="8">
        <f ca="1">SUM(E7:E18)</f>
        <v>20996.35</v>
      </c>
      <c r="F19" s="95"/>
      <c r="G19" s="95"/>
    </row>
    <row r="20" spans="2:11" ht="21" customHeight="1" x14ac:dyDescent="0.35">
      <c r="B20" s="95"/>
      <c r="C20" s="95"/>
      <c r="D20" s="95"/>
      <c r="E20" s="95"/>
      <c r="F20" s="95"/>
      <c r="G20" s="95"/>
      <c r="H20" s="95"/>
      <c r="I20" s="95"/>
      <c r="J20" s="95"/>
      <c r="K20" s="95"/>
    </row>
    <row r="21" spans="2:11" ht="21" customHeight="1" x14ac:dyDescent="0.35">
      <c r="B21" s="95"/>
      <c r="C21" s="95"/>
      <c r="D21" s="95"/>
      <c r="E21" s="95"/>
      <c r="F21" s="95"/>
      <c r="G21" s="95"/>
      <c r="H21" s="95"/>
      <c r="I21" s="95"/>
      <c r="J21" s="95"/>
      <c r="K21" s="95"/>
    </row>
    <row r="22" spans="2:11" ht="21" customHeight="1" x14ac:dyDescent="0.35">
      <c r="B22" s="98" t="s">
        <v>26</v>
      </c>
      <c r="C22" s="99" t="s">
        <v>34</v>
      </c>
      <c r="D22" s="99" t="s">
        <v>35</v>
      </c>
      <c r="E22" s="99" t="s">
        <v>50</v>
      </c>
      <c r="F22" s="156" t="s">
        <v>70</v>
      </c>
      <c r="G22" s="156" t="s">
        <v>54</v>
      </c>
      <c r="H22" s="99" t="s">
        <v>36</v>
      </c>
      <c r="I22" s="99" t="s">
        <v>68</v>
      </c>
      <c r="J22" s="99" t="s">
        <v>52</v>
      </c>
      <c r="K22" s="100" t="s">
        <v>53</v>
      </c>
    </row>
    <row r="23" spans="2:11" ht="21" customHeight="1" x14ac:dyDescent="0.35">
      <c r="B23" s="101" t="s">
        <v>3</v>
      </c>
      <c r="C23" s="5" cm="1">
        <f t="array" aca="1" ref="C23" ca="1">INDIRECT("'" &amp; C$42 &amp; "'!H" &amp; 10)</f>
        <v>0</v>
      </c>
      <c r="D23" s="5" cm="1">
        <f t="array" aca="1" ref="D23" ca="1">INDIRECT("'" &amp; C$42 &amp; "'!H" &amp; 14)</f>
        <v>200.10999999999996</v>
      </c>
      <c r="E23" s="5" cm="1">
        <f t="array" aca="1" ref="E23" ca="1">INDIRECT("'" &amp; B23 &amp; "'!L" &amp; 10)</f>
        <v>10</v>
      </c>
      <c r="F23" s="157">
        <f t="shared" ref="F23:F34" ca="1" si="1">D23-E23</f>
        <v>190.10999999999996</v>
      </c>
      <c r="G23" s="157">
        <f t="shared" ref="G23:G34" ca="1" si="2">D23-C23</f>
        <v>200.10999999999996</v>
      </c>
      <c r="H23" s="5" cm="1">
        <f t="array" aca="1" ref="H23" ca="1">INDIRECT("'" &amp; C$42 &amp; "'!B" &amp; 10)</f>
        <v>157.97</v>
      </c>
      <c r="I23" s="5" cm="1">
        <f t="array" aca="1" ref="I23" ca="1">INDIRECT("'" &amp; C$42 &amp; "'!B" &amp; 14)</f>
        <v>358.08</v>
      </c>
      <c r="J23" s="5" cm="1">
        <f t="array" aca="1" ref="J23" ca="1">INDIRECT("'" &amp; C$42 &amp; "'!B" &amp; 14)</f>
        <v>358.08</v>
      </c>
      <c r="K23" s="9">
        <f ca="1">I23-J23</f>
        <v>0</v>
      </c>
    </row>
    <row r="24" spans="2:11" ht="21" customHeight="1" x14ac:dyDescent="0.35">
      <c r="B24" s="101" t="s">
        <v>4</v>
      </c>
      <c r="C24" s="5" cm="1">
        <f t="array" aca="1" ref="C24" ca="1">INDIRECT("'" &amp; D$42 &amp; "'!H" &amp; 10)</f>
        <v>0</v>
      </c>
      <c r="D24" s="5" cm="1">
        <f t="array" aca="1" ref="D24" ca="1">INDIRECT("'" &amp; D$42 &amp; "'!H" &amp; 14)</f>
        <v>669.01</v>
      </c>
      <c r="E24" s="5" cm="1">
        <f t="array" aca="1" ref="E24" ca="1">INDIRECT("'" &amp; B24 &amp; "'!L" &amp; 10)</f>
        <v>10</v>
      </c>
      <c r="F24" s="157">
        <f t="shared" ca="1" si="1"/>
        <v>659.01</v>
      </c>
      <c r="G24" s="157">
        <f t="shared" ca="1" si="2"/>
        <v>669.01</v>
      </c>
      <c r="H24" s="5" cm="1">
        <f t="array" aca="1" ref="H24" ca="1">INDIRECT("'" &amp; D$42 &amp; "'!B" &amp; 10)</f>
        <v>358.08</v>
      </c>
      <c r="I24" s="5" cm="1">
        <f t="array" aca="1" ref="I24" ca="1">INDIRECT("'" &amp; D$42 &amp; "'!B" &amp; 14)</f>
        <v>1027.0899999999999</v>
      </c>
      <c r="J24" s="5" cm="1">
        <f t="array" aca="1" ref="J24" ca="1">INDIRECT("'" &amp; D$42 &amp; "'!B" &amp; 14)</f>
        <v>1027.0899999999999</v>
      </c>
      <c r="K24" s="9">
        <f t="shared" ref="K24:K34" ca="1" si="3">I24-J24</f>
        <v>0</v>
      </c>
    </row>
    <row r="25" spans="2:11" ht="21" customHeight="1" x14ac:dyDescent="0.35">
      <c r="B25" s="101" t="s">
        <v>5</v>
      </c>
      <c r="C25" s="5" cm="1">
        <f t="array" aca="1" ref="C25" ca="1">INDIRECT("'" &amp; E$42 &amp; "'!H" &amp; 10)</f>
        <v>0</v>
      </c>
      <c r="D25" s="5" cm="1">
        <f t="array" aca="1" ref="D25" ca="1">INDIRECT("'" &amp; E$42 &amp; "'!H" &amp; 14)</f>
        <v>-717.21</v>
      </c>
      <c r="E25" s="5" cm="1">
        <f t="array" aca="1" ref="E25" ca="1">INDIRECT("'" &amp; B25 &amp; "'!L" &amp; 10)</f>
        <v>10</v>
      </c>
      <c r="F25" s="157">
        <f t="shared" ca="1" si="1"/>
        <v>-727.21</v>
      </c>
      <c r="G25" s="157">
        <f t="shared" ca="1" si="2"/>
        <v>-717.21</v>
      </c>
      <c r="H25" s="5" cm="1">
        <f t="array" aca="1" ref="H25" ca="1">INDIRECT("'" &amp; E$42 &amp; "'!B" &amp; 10)</f>
        <v>1027.0899999999999</v>
      </c>
      <c r="I25" s="5" cm="1">
        <f t="array" aca="1" ref="I25" ca="1">INDIRECT("'" &amp; E$42 &amp; "'!B" &amp; 14)</f>
        <v>309.87999999999988</v>
      </c>
      <c r="J25" s="5" cm="1">
        <f t="array" aca="1" ref="J25" ca="1">INDIRECT("'" &amp; E$42 &amp; "'!B" &amp; 14)</f>
        <v>309.87999999999988</v>
      </c>
      <c r="K25" s="9">
        <f t="shared" ca="1" si="3"/>
        <v>0</v>
      </c>
    </row>
    <row r="26" spans="2:11" ht="21" customHeight="1" x14ac:dyDescent="0.35">
      <c r="B26" s="101" t="s">
        <v>6</v>
      </c>
      <c r="C26" s="5" cm="1">
        <f t="array" aca="1" ref="C26" ca="1">INDIRECT("'" &amp; F$42 &amp; "'!H" &amp; 10)</f>
        <v>0</v>
      </c>
      <c r="D26" s="5" cm="1">
        <f t="array" aca="1" ref="D26" ca="1">INDIRECT("'" &amp; F$42 &amp; "'!H" &amp; 14)</f>
        <v>1738.68</v>
      </c>
      <c r="E26" s="5" cm="1">
        <f t="array" aca="1" ref="E26" ca="1">INDIRECT("'" &amp; B26 &amp; "'!L" &amp; 10)</f>
        <v>10</v>
      </c>
      <c r="F26" s="157">
        <f t="shared" ca="1" si="1"/>
        <v>1728.68</v>
      </c>
      <c r="G26" s="157">
        <f t="shared" ca="1" si="2"/>
        <v>1738.68</v>
      </c>
      <c r="H26" s="5" cm="1">
        <f t="array" aca="1" ref="H26" ca="1">INDIRECT("'" &amp; F$42 &amp; "'!B" &amp; 10)</f>
        <v>309.87999999999988</v>
      </c>
      <c r="I26" s="5" cm="1">
        <f t="array" aca="1" ref="I26" ca="1">INDIRECT("'" &amp; F$42 &amp; "'!B" &amp; 14)</f>
        <v>2048.5599999999995</v>
      </c>
      <c r="J26" s="5" cm="1">
        <f t="array" aca="1" ref="J26" ca="1">INDIRECT("'" &amp; F$42 &amp; "'!B" &amp; 14)</f>
        <v>2048.5599999999995</v>
      </c>
      <c r="K26" s="9">
        <f t="shared" ca="1" si="3"/>
        <v>0</v>
      </c>
    </row>
    <row r="27" spans="2:11" ht="21" customHeight="1" x14ac:dyDescent="0.35">
      <c r="B27" s="101" t="s">
        <v>7</v>
      </c>
      <c r="C27" s="5" cm="1">
        <f t="array" aca="1" ref="C27" ca="1">INDIRECT("'" &amp; G$42 &amp; "'!H" &amp; 10)</f>
        <v>0</v>
      </c>
      <c r="D27" s="5" cm="1">
        <f t="array" aca="1" ref="D27" ca="1">INDIRECT("'" &amp; G$42 &amp; "'!H" &amp; 14)</f>
        <v>2041.9199999999998</v>
      </c>
      <c r="E27" s="5" cm="1">
        <f t="array" aca="1" ref="E27" ca="1">INDIRECT("'" &amp; B27 &amp; "'!L" &amp; 10)</f>
        <v>10</v>
      </c>
      <c r="F27" s="157">
        <f t="shared" ca="1" si="1"/>
        <v>2031.9199999999998</v>
      </c>
      <c r="G27" s="157">
        <f t="shared" ca="1" si="2"/>
        <v>2041.9199999999998</v>
      </c>
      <c r="H27" s="5" cm="1">
        <f t="array" aca="1" ref="H27" ca="1">INDIRECT("'" &amp; G$42 &amp; "'!B" &amp; 10)</f>
        <v>2048.5599999999995</v>
      </c>
      <c r="I27" s="5" cm="1">
        <f t="array" aca="1" ref="I27" ca="1">INDIRECT("'" &amp; G$42 &amp; "'!B" &amp; 14)</f>
        <v>4090.4799999999996</v>
      </c>
      <c r="J27" s="5" cm="1">
        <f t="array" aca="1" ref="J27" ca="1">INDIRECT("'" &amp; G$42 &amp; "'!B" &amp; 14)</f>
        <v>4090.4799999999996</v>
      </c>
      <c r="K27" s="9">
        <f t="shared" ca="1" si="3"/>
        <v>0</v>
      </c>
    </row>
    <row r="28" spans="2:11" ht="21" customHeight="1" x14ac:dyDescent="0.35">
      <c r="B28" s="101" t="s">
        <v>8</v>
      </c>
      <c r="C28" s="5" cm="1">
        <f t="array" aca="1" ref="C28" ca="1">INDIRECT("'" &amp; H$42 &amp; "'!H" &amp; 10)</f>
        <v>0</v>
      </c>
      <c r="D28" s="5" cm="1">
        <f t="array" aca="1" ref="D28" ca="1">INDIRECT("'" &amp; H$42 &amp; "'!H" &amp; 14)</f>
        <v>-414.93999999999994</v>
      </c>
      <c r="E28" s="5" cm="1">
        <f t="array" aca="1" ref="E28" ca="1">INDIRECT("'" &amp; B28 &amp; "'!L" &amp; 10)</f>
        <v>10</v>
      </c>
      <c r="F28" s="157">
        <f t="shared" ca="1" si="1"/>
        <v>-424.93999999999994</v>
      </c>
      <c r="G28" s="157">
        <f t="shared" ca="1" si="2"/>
        <v>-414.93999999999994</v>
      </c>
      <c r="H28" s="5" cm="1">
        <f t="array" aca="1" ref="H28" ca="1">INDIRECT("'" &amp; H$42 &amp; "'!B" &amp; 10)</f>
        <v>4090.4799999999996</v>
      </c>
      <c r="I28" s="5" cm="1">
        <f t="array" aca="1" ref="I28" ca="1">INDIRECT("'" &amp; H$42 &amp; "'!B" &amp; 14)</f>
        <v>3675.5399999999991</v>
      </c>
      <c r="J28" s="5" cm="1">
        <f t="array" aca="1" ref="J28" ca="1">INDIRECT("'" &amp; H$42 &amp; "'!B" &amp; 14)</f>
        <v>3675.5399999999991</v>
      </c>
      <c r="K28" s="9">
        <f t="shared" ca="1" si="3"/>
        <v>0</v>
      </c>
    </row>
    <row r="29" spans="2:11" ht="21" customHeight="1" x14ac:dyDescent="0.35">
      <c r="B29" s="101" t="s">
        <v>9</v>
      </c>
      <c r="C29" s="5" cm="1">
        <f t="array" aca="1" ref="C29" ca="1">INDIRECT("'" &amp; I$42 &amp; "'!H" &amp; 10)</f>
        <v>0</v>
      </c>
      <c r="D29" s="5" cm="1">
        <f t="array" aca="1" ref="D29" ca="1">INDIRECT("'" &amp; I$42 &amp; "'!H" &amp; 14)</f>
        <v>-254.19000000000005</v>
      </c>
      <c r="E29" s="5" cm="1">
        <f t="array" aca="1" ref="E29" ca="1">INDIRECT("'" &amp; B29 &amp; "'!L" &amp; 10)</f>
        <v>10</v>
      </c>
      <c r="F29" s="157">
        <f t="shared" ca="1" si="1"/>
        <v>-264.19000000000005</v>
      </c>
      <c r="G29" s="157">
        <f t="shared" ca="1" si="2"/>
        <v>-254.19000000000005</v>
      </c>
      <c r="H29" s="5" cm="1">
        <f t="array" aca="1" ref="H29" ca="1">INDIRECT("'" &amp; I$42 &amp; "'!B" &amp; 10)</f>
        <v>3675.5399999999991</v>
      </c>
      <c r="I29" s="5" cm="1">
        <f t="array" aca="1" ref="I29" ca="1">INDIRECT("'" &amp; I$42 &amp; "'!B" &amp; 14)</f>
        <v>3421.3499999999985</v>
      </c>
      <c r="J29" s="5" cm="1">
        <f t="array" aca="1" ref="J29" ca="1">INDIRECT("'" &amp; I$42 &amp; "'!B" &amp; 14)</f>
        <v>3421.3499999999985</v>
      </c>
      <c r="K29" s="9">
        <f t="shared" ca="1" si="3"/>
        <v>0</v>
      </c>
    </row>
    <row r="30" spans="2:11" ht="21" customHeight="1" x14ac:dyDescent="0.35">
      <c r="B30" s="101" t="s">
        <v>10</v>
      </c>
      <c r="C30" s="5" cm="1">
        <f t="array" aca="1" ref="C30" ca="1">INDIRECT("'" &amp; J$42 &amp; "'!H" &amp; 10)</f>
        <v>992.1</v>
      </c>
      <c r="D30" s="5" cm="1">
        <f t="array" aca="1" ref="D30" ca="1">INDIRECT("'" &amp; J$42 &amp; "'!H" &amp; 14)</f>
        <v>6110.8700000000008</v>
      </c>
      <c r="E30" s="5" cm="1">
        <f t="array" aca="1" ref="E30" ca="1">INDIRECT("'" &amp; B30 &amp; "'!L" &amp; 10)</f>
        <v>10</v>
      </c>
      <c r="F30" s="157">
        <f t="shared" ca="1" si="1"/>
        <v>6100.8700000000008</v>
      </c>
      <c r="G30" s="157">
        <f t="shared" ca="1" si="2"/>
        <v>5118.7700000000004</v>
      </c>
      <c r="H30" s="5" cm="1">
        <f t="array" aca="1" ref="H30" ca="1">INDIRECT("'" &amp; J$42 &amp; "'!B" &amp; 10)</f>
        <v>4413.4499999999989</v>
      </c>
      <c r="I30" s="5" cm="1">
        <f t="array" aca="1" ref="I30" ca="1">INDIRECT("'" &amp; J$42 &amp; "'!B" &amp; 14)</f>
        <v>9532.2199999999975</v>
      </c>
      <c r="J30" s="5" cm="1">
        <f t="array" aca="1" ref="J30" ca="1">INDIRECT("'" &amp; J$42 &amp; "'!B" &amp; 14)</f>
        <v>9532.2199999999975</v>
      </c>
      <c r="K30" s="9">
        <f t="shared" ca="1" si="3"/>
        <v>0</v>
      </c>
    </row>
    <row r="31" spans="2:11" ht="21" customHeight="1" x14ac:dyDescent="0.35">
      <c r="B31" s="101" t="s">
        <v>11</v>
      </c>
      <c r="C31" s="5" cm="1">
        <f t="array" aca="1" ref="C31" ca="1">INDIRECT("'" &amp; K$42 &amp; "'!H" &amp; 10)</f>
        <v>0</v>
      </c>
      <c r="D31" s="5" cm="1">
        <f t="array" aca="1" ref="D31" ca="1">INDIRECT("'" &amp; K$42 &amp; "'!H" &amp; 14)</f>
        <v>2060.4700000000003</v>
      </c>
      <c r="E31" s="5" cm="1">
        <f t="array" aca="1" ref="E31" ca="1">INDIRECT("'" &amp; B31 &amp; "'!L" &amp; 10)</f>
        <v>10</v>
      </c>
      <c r="F31" s="157">
        <f t="shared" ca="1" si="1"/>
        <v>2050.4700000000003</v>
      </c>
      <c r="G31" s="157">
        <f t="shared" ca="1" si="2"/>
        <v>2060.4700000000003</v>
      </c>
      <c r="H31" s="5" cm="1">
        <f t="array" aca="1" ref="H31" ca="1">INDIRECT("'" &amp; K$42 &amp; "'!B" &amp; 10)</f>
        <v>9532.2199999999975</v>
      </c>
      <c r="I31" s="5" cm="1">
        <f t="array" aca="1" ref="I31" ca="1">INDIRECT("'" &amp; K$42 &amp; "'!B" &amp; 14)</f>
        <v>11592.689999999999</v>
      </c>
      <c r="J31" s="5" cm="1">
        <f t="array" aca="1" ref="J31" ca="1">INDIRECT("'" &amp; K$42 &amp; "'!B" &amp; 14)</f>
        <v>11592.689999999999</v>
      </c>
      <c r="K31" s="9">
        <f t="shared" ca="1" si="3"/>
        <v>0</v>
      </c>
    </row>
    <row r="32" spans="2:11" ht="21" customHeight="1" x14ac:dyDescent="0.35">
      <c r="B32" s="101" t="s">
        <v>12</v>
      </c>
      <c r="C32" s="5" cm="1">
        <f t="array" aca="1" ref="C32" ca="1">INDIRECT("'" &amp; L$42 &amp; "'!H" &amp; 10)</f>
        <v>0</v>
      </c>
      <c r="D32" s="5" cm="1">
        <f t="array" aca="1" ref="D32" ca="1">INDIRECT("'" &amp; L$42 &amp; "'!H" &amp; 14)</f>
        <v>1394.3500000000001</v>
      </c>
      <c r="E32" s="5" cm="1">
        <f t="array" aca="1" ref="E32" ca="1">INDIRECT("'" &amp; B32 &amp; "'!L" &amp; 10)</f>
        <v>10</v>
      </c>
      <c r="F32" s="157">
        <f t="shared" ca="1" si="1"/>
        <v>1384.3500000000001</v>
      </c>
      <c r="G32" s="157">
        <f t="shared" ca="1" si="2"/>
        <v>1394.3500000000001</v>
      </c>
      <c r="H32" s="5" cm="1">
        <f t="array" aca="1" ref="H32" ca="1">INDIRECT("'" &amp; L$42 &amp; "'!B" &amp; 10)</f>
        <v>11592.689999999999</v>
      </c>
      <c r="I32" s="5" cm="1">
        <f t="array" aca="1" ref="I32" ca="1">INDIRECT("'" &amp; L$42 &amp; "'!B" &amp; 14)</f>
        <v>12987.039999999999</v>
      </c>
      <c r="J32" s="5" cm="1">
        <f t="array" aca="1" ref="J32" ca="1">INDIRECT("'" &amp; L$42 &amp; "'!B" &amp; 14)</f>
        <v>12987.039999999999</v>
      </c>
      <c r="K32" s="9">
        <f t="shared" ca="1" si="3"/>
        <v>0</v>
      </c>
    </row>
    <row r="33" spans="2:15" ht="21" customHeight="1" x14ac:dyDescent="0.35">
      <c r="B33" s="101" t="s">
        <v>13</v>
      </c>
      <c r="C33" s="5" cm="1">
        <f t="array" aca="1" ref="C33" ca="1">INDIRECT("'" &amp; M$42 &amp; "'!H" &amp; 10)</f>
        <v>1441.18</v>
      </c>
      <c r="D33" s="5" cm="1">
        <f t="array" aca="1" ref="D33" ca="1">INDIRECT("'" &amp; M$42 &amp; "'!H" &amp; 14)</f>
        <v>7662.3600000000006</v>
      </c>
      <c r="E33" s="5" cm="1">
        <f t="array" aca="1" ref="E33" ca="1">INDIRECT("'" &amp; B33 &amp; "'!L" &amp; 10)</f>
        <v>10</v>
      </c>
      <c r="F33" s="157">
        <f t="shared" ca="1" si="1"/>
        <v>7652.3600000000006</v>
      </c>
      <c r="G33" s="157">
        <f t="shared" ca="1" si="2"/>
        <v>6221.18</v>
      </c>
      <c r="H33" s="5" cm="1">
        <f t="array" aca="1" ref="H33" ca="1">INDIRECT("'" &amp; M$42 &amp; "'!B" &amp; 10)</f>
        <v>14428.22</v>
      </c>
      <c r="I33" s="5" cm="1">
        <f t="array" aca="1" ref="I33" ca="1">INDIRECT("'" &amp; M$42 &amp; "'!B" &amp; 14)</f>
        <v>20649.400000000001</v>
      </c>
      <c r="J33" s="5" cm="1">
        <f t="array" aca="1" ref="J33" ca="1">INDIRECT("'" &amp; M$42 &amp; "'!B" &amp; 14)</f>
        <v>20649.400000000001</v>
      </c>
      <c r="K33" s="9">
        <f t="shared" ca="1" si="3"/>
        <v>0</v>
      </c>
    </row>
    <row r="34" spans="2:15" ht="21" customHeight="1" x14ac:dyDescent="0.35">
      <c r="B34" s="101" t="s">
        <v>14</v>
      </c>
      <c r="C34" s="5" cm="1">
        <f t="array" aca="1" ref="C34" ca="1">INDIRECT("'" &amp; N$42 &amp; "'!H" &amp; 10)</f>
        <v>0</v>
      </c>
      <c r="D34" s="5" cm="1">
        <f t="array" aca="1" ref="D34" ca="1">INDIRECT("'" &amp; N$42 &amp; "'!H" &amp; 14)</f>
        <v>504.92000000000007</v>
      </c>
      <c r="E34" s="5" cm="1">
        <f t="array" aca="1" ref="E34" ca="1">INDIRECT("'" &amp; B34 &amp; "'!L" &amp; 10)</f>
        <v>200</v>
      </c>
      <c r="F34" s="157">
        <f t="shared" ca="1" si="1"/>
        <v>304.92000000000007</v>
      </c>
      <c r="G34" s="157">
        <f t="shared" ca="1" si="2"/>
        <v>504.92000000000007</v>
      </c>
      <c r="H34" s="5" cm="1">
        <f t="array" aca="1" ref="H34" ca="1">INDIRECT("'" &amp; N$42 &amp; "'!B" &amp; 10)</f>
        <v>20649.400000000001</v>
      </c>
      <c r="I34" s="5" cm="1">
        <f t="array" aca="1" ref="I34" ca="1">INDIRECT("'" &amp; N$42 &amp; "'!B" &amp; 14)</f>
        <v>21154.320000000003</v>
      </c>
      <c r="J34" s="5" cm="1">
        <f t="array" aca="1" ref="J34" ca="1">INDIRECT("'" &amp; N$42 &amp; "'!B" &amp; 14)</f>
        <v>21154.320000000003</v>
      </c>
      <c r="K34" s="9">
        <f t="shared" ca="1" si="3"/>
        <v>0</v>
      </c>
    </row>
    <row r="35" spans="2:15" ht="21" customHeight="1" x14ac:dyDescent="0.35">
      <c r="B35" s="97" t="s">
        <v>1</v>
      </c>
      <c r="C35" s="7">
        <f ca="1">SUM(C23:C34)</f>
        <v>2433.2800000000002</v>
      </c>
      <c r="D35" s="7">
        <f ca="1">SUM(D23:D34)</f>
        <v>20996.35</v>
      </c>
      <c r="E35" s="7">
        <f ca="1">SUM(E23:E34)</f>
        <v>310</v>
      </c>
      <c r="F35" s="7"/>
      <c r="G35" s="7"/>
      <c r="H35" s="7">
        <f ca="1">MAX(H23:H34)</f>
        <v>20649.400000000001</v>
      </c>
      <c r="I35" s="7">
        <f ca="1">MAX(I23:I34)</f>
        <v>21154.320000000003</v>
      </c>
      <c r="J35" s="7">
        <f ca="1">MAX(J23:J34)</f>
        <v>21154.320000000003</v>
      </c>
      <c r="K35" s="8"/>
    </row>
    <row r="41" spans="2:15" ht="15.75" thickBot="1" x14ac:dyDescent="0.3"/>
    <row r="42" spans="2:15" s="95" customFormat="1" ht="21" x14ac:dyDescent="0.35">
      <c r="B42" s="160" t="s">
        <v>26</v>
      </c>
      <c r="C42" s="160" t="s">
        <v>3</v>
      </c>
      <c r="D42" s="160" t="s">
        <v>4</v>
      </c>
      <c r="E42" s="160" t="s">
        <v>5</v>
      </c>
      <c r="F42" s="160" t="s">
        <v>6</v>
      </c>
      <c r="G42" s="160" t="s">
        <v>7</v>
      </c>
      <c r="H42" s="160" t="s">
        <v>8</v>
      </c>
      <c r="I42" s="160" t="s">
        <v>9</v>
      </c>
      <c r="J42" s="160" t="s">
        <v>10</v>
      </c>
      <c r="K42" s="160" t="s">
        <v>11</v>
      </c>
      <c r="L42" s="160" t="s">
        <v>12</v>
      </c>
      <c r="M42" s="160" t="s">
        <v>13</v>
      </c>
      <c r="N42" s="160" t="s">
        <v>14</v>
      </c>
      <c r="O42" s="164" t="s">
        <v>1</v>
      </c>
    </row>
    <row r="43" spans="2:15" s="95" customFormat="1" ht="21" x14ac:dyDescent="0.35">
      <c r="B43" s="102" t="s">
        <v>2</v>
      </c>
      <c r="C43" s="10" cm="1">
        <f t="array" aca="1" ref="C43" ca="1">INDIRECT("'" &amp; $C$42 &amp; "'!G24")</f>
        <v>628.41999999999996</v>
      </c>
      <c r="D43" s="10" cm="1">
        <f t="array" aca="1" ref="D43" ca="1">INDIRECT("'" &amp; $D$42 &amp; "'!G24")</f>
        <v>1154.22</v>
      </c>
      <c r="E43" s="10" cm="1">
        <f t="array" aca="1" ref="E43" ca="1">INDIRECT("'" &amp; E$42 &amp; "'!G24")</f>
        <v>0</v>
      </c>
      <c r="F43" s="10" cm="1">
        <f t="array" aca="1" ref="F43" ca="1">INDIRECT("'" &amp; $F$42 &amp; "'!G24")</f>
        <v>2194.19</v>
      </c>
      <c r="G43" s="10" cm="1">
        <f t="array" aca="1" ref="G43" ca="1">INDIRECT("'" &amp; $G$42 &amp; "'!G24")</f>
        <v>2611.62</v>
      </c>
      <c r="H43" s="10" cm="1">
        <f t="array" aca="1" ref="H43" ca="1">INDIRECT("'" &amp; $H$42 &amp; "'!G24")</f>
        <v>693.57</v>
      </c>
      <c r="I43" s="10" cm="1">
        <f t="array" aca="1" ref="I43" ca="1">INDIRECT("'" &amp; $I$42 &amp; "'!G24")</f>
        <v>853.81</v>
      </c>
      <c r="J43" s="10" cm="1">
        <f t="array" aca="1" ref="J43" ca="1">INDIRECT("'" &amp; $J$42 &amp; "'!G24")</f>
        <v>6589.4100000000008</v>
      </c>
      <c r="K43" s="10" cm="1">
        <f t="array" aca="1" ref="K43" ca="1">INDIRECT("'" &amp; $K$42 &amp; "'!G24")</f>
        <v>2567.54</v>
      </c>
      <c r="L43" s="10" cm="1">
        <f t="array" aca="1" ref="L43" ca="1">INDIRECT("'" &amp; $L$42 &amp; "'!G24")</f>
        <v>2200.61</v>
      </c>
      <c r="M43" s="10" cm="1">
        <f t="array" aca="1" ref="M43" ca="1">INDIRECT("'" &amp; $M$42 &amp; "'!G24")</f>
        <v>8244.61</v>
      </c>
      <c r="N43" s="10" cm="1">
        <f t="array" aca="1" ref="N43" ca="1">INDIRECT("'" &amp; $H$42 &amp; "'!G24")</f>
        <v>693.57</v>
      </c>
      <c r="O43" s="22">
        <f t="shared" ref="O43:O45" ca="1" si="4">SUM(C43:N43)</f>
        <v>28431.570000000003</v>
      </c>
    </row>
    <row r="44" spans="2:15" s="95" customFormat="1" ht="21" x14ac:dyDescent="0.35">
      <c r="B44" s="102" t="s">
        <v>89</v>
      </c>
      <c r="C44" s="10" cm="1">
        <f t="array" aca="1" ref="C44" ca="1">INDIRECT("'" &amp; $C$42 &amp; "'!G25")</f>
        <v>428.31</v>
      </c>
      <c r="D44" s="10" cm="1">
        <f t="array" aca="1" ref="D44" ca="1">INDIRECT("'" &amp; D$42 &amp; "'!G25")</f>
        <v>485.21000000000004</v>
      </c>
      <c r="E44" s="10" cm="1">
        <f t="array" aca="1" ref="E44" ca="1">INDIRECT("'" &amp; E$42 &amp; "'!G25")</f>
        <v>717.21</v>
      </c>
      <c r="F44" s="10" cm="1">
        <f t="array" aca="1" ref="F44" ca="1">INDIRECT("'" &amp; F$42 &amp; "'!G25")</f>
        <v>455.51</v>
      </c>
      <c r="G44" s="10" cm="1">
        <f t="array" aca="1" ref="G44" ca="1">INDIRECT("'" &amp; G$42 &amp; "'!G25")</f>
        <v>569.70000000000005</v>
      </c>
      <c r="H44" s="10" cm="1">
        <f t="array" aca="1" ref="H44" ca="1">INDIRECT("'" &amp; H$42 &amp; "'!G25")</f>
        <v>1108.51</v>
      </c>
      <c r="I44" s="10" cm="1">
        <f t="array" aca="1" ref="I44" ca="1">INDIRECT("'" &amp; I$42 &amp; "'!G25")</f>
        <v>1108</v>
      </c>
      <c r="J44" s="10" cm="1">
        <f t="array" aca="1" ref="J44" ca="1">INDIRECT("'" &amp; J$42 &amp; "'!G25")</f>
        <v>478.54</v>
      </c>
      <c r="K44" s="10" cm="1">
        <f t="array" aca="1" ref="K44" ca="1">INDIRECT("'" &amp; K$42 &amp; "'!G25")</f>
        <v>507.06999999999994</v>
      </c>
      <c r="L44" s="10" cm="1">
        <f t="array" aca="1" ref="L44" ca="1">INDIRECT("'" &amp; L$42 &amp; "'!G25")</f>
        <v>806.26</v>
      </c>
      <c r="M44" s="10" cm="1">
        <f t="array" aca="1" ref="M44" ca="1">INDIRECT("'" &amp; M$42 &amp; "'!G25")</f>
        <v>582.25</v>
      </c>
      <c r="N44" s="10" cm="1">
        <f t="array" aca="1" ref="N44" ca="1">INDIRECT("'" &amp; N$42 &amp; "'!G25")</f>
        <v>846.3</v>
      </c>
      <c r="O44" s="22">
        <f t="shared" ca="1" si="4"/>
        <v>8092.87</v>
      </c>
    </row>
    <row r="45" spans="2:15" s="95" customFormat="1" ht="21.75" thickBot="1" x14ac:dyDescent="0.4">
      <c r="B45" s="103" t="s">
        <v>49</v>
      </c>
      <c r="C45" s="11">
        <f t="shared" ref="C45:N45" ca="1" si="5">C43-SUM(C44:C44)</f>
        <v>200.10999999999996</v>
      </c>
      <c r="D45" s="11">
        <f t="shared" ca="1" si="5"/>
        <v>669.01</v>
      </c>
      <c r="E45" s="11">
        <f t="shared" ca="1" si="5"/>
        <v>-717.21</v>
      </c>
      <c r="F45" s="11">
        <f t="shared" ca="1" si="5"/>
        <v>1738.68</v>
      </c>
      <c r="G45" s="11">
        <f t="shared" ca="1" si="5"/>
        <v>2041.9199999999998</v>
      </c>
      <c r="H45" s="11">
        <f t="shared" ca="1" si="5"/>
        <v>-414.93999999999994</v>
      </c>
      <c r="I45" s="11">
        <f t="shared" ca="1" si="5"/>
        <v>-254.19000000000005</v>
      </c>
      <c r="J45" s="11">
        <f t="shared" ca="1" si="5"/>
        <v>6110.8700000000008</v>
      </c>
      <c r="K45" s="11">
        <f t="shared" ca="1" si="5"/>
        <v>2060.4700000000003</v>
      </c>
      <c r="L45" s="11">
        <f t="shared" ca="1" si="5"/>
        <v>1394.3500000000001</v>
      </c>
      <c r="M45" s="11">
        <f t="shared" ca="1" si="5"/>
        <v>7662.3600000000006</v>
      </c>
      <c r="N45" s="11">
        <f t="shared" ca="1" si="5"/>
        <v>-152.7299999999999</v>
      </c>
      <c r="O45" s="22">
        <f t="shared" ca="1" si="4"/>
        <v>20338.7</v>
      </c>
    </row>
    <row r="46" spans="2:15" s="95" customFormat="1" ht="21" x14ac:dyDescent="0.35"/>
    <row r="47" spans="2:15" s="95" customFormat="1" ht="21.75" thickBot="1" x14ac:dyDescent="0.4"/>
    <row r="48" spans="2:15" s="95" customFormat="1" ht="21.75" thickBot="1" x14ac:dyDescent="0.4">
      <c r="B48" s="165" t="s">
        <v>26</v>
      </c>
      <c r="C48" s="165" t="s">
        <v>3</v>
      </c>
      <c r="D48" s="165" t="s">
        <v>4</v>
      </c>
      <c r="E48" s="165" t="s">
        <v>5</v>
      </c>
      <c r="F48" s="165" t="s">
        <v>6</v>
      </c>
      <c r="G48" s="165" t="s">
        <v>7</v>
      </c>
      <c r="H48" s="165" t="s">
        <v>8</v>
      </c>
      <c r="I48" s="165" t="s">
        <v>9</v>
      </c>
      <c r="J48" s="165" t="s">
        <v>10</v>
      </c>
      <c r="K48" s="165" t="s">
        <v>11</v>
      </c>
      <c r="L48" s="165" t="s">
        <v>12</v>
      </c>
      <c r="M48" s="165" t="s">
        <v>13</v>
      </c>
      <c r="N48" s="166" t="s">
        <v>14</v>
      </c>
      <c r="O48" s="164" t="s">
        <v>1</v>
      </c>
    </row>
    <row r="49" spans="2:15" s="95" customFormat="1" ht="21" x14ac:dyDescent="0.35">
      <c r="B49" s="95" t="s">
        <v>34</v>
      </c>
      <c r="C49" s="10" cm="1">
        <f t="array" aca="1" ref="C49" ca="1">INDIRECT("'" &amp; C$42 &amp; "'!H" &amp; 10)</f>
        <v>0</v>
      </c>
      <c r="D49" s="10" cm="1">
        <f t="array" aca="1" ref="D49" ca="1">INDIRECT("'" &amp; D$42 &amp; "'!H" &amp; 10)</f>
        <v>0</v>
      </c>
      <c r="E49" s="10" cm="1">
        <f t="array" aca="1" ref="E49" ca="1">INDIRECT("'" &amp; E$42 &amp; "'!H" &amp; 10)</f>
        <v>0</v>
      </c>
      <c r="F49" s="10" cm="1">
        <f t="array" aca="1" ref="F49" ca="1">INDIRECT("'" &amp; F$42 &amp; "'!H" &amp; 10)</f>
        <v>0</v>
      </c>
      <c r="G49" s="10" cm="1">
        <f t="array" aca="1" ref="G49" ca="1">INDIRECT("'" &amp; G$42 &amp; "'!H" &amp; 10)</f>
        <v>0</v>
      </c>
      <c r="H49" s="10" cm="1">
        <f t="array" aca="1" ref="H49" ca="1">INDIRECT("'" &amp; H$42 &amp; "'!H" &amp; 10)</f>
        <v>0</v>
      </c>
      <c r="I49" s="10" cm="1">
        <f t="array" aca="1" ref="I49" ca="1">INDIRECT("'" &amp; I$42 &amp; "'!H" &amp; 10)</f>
        <v>0</v>
      </c>
      <c r="J49" s="10" cm="1">
        <f t="array" aca="1" ref="J49" ca="1">INDIRECT("'" &amp; J$42 &amp; "'!H" &amp; 10)</f>
        <v>992.1</v>
      </c>
      <c r="K49" s="10" cm="1">
        <f t="array" aca="1" ref="K49" ca="1">INDIRECT("'" &amp; K$42 &amp; "'!H" &amp; 10)</f>
        <v>0</v>
      </c>
      <c r="L49" s="10" cm="1">
        <f t="array" aca="1" ref="L49" ca="1">INDIRECT("'" &amp; L$42 &amp; "'!H" &amp; 10)</f>
        <v>0</v>
      </c>
      <c r="M49" s="10" cm="1">
        <f t="array" aca="1" ref="M49" ca="1">INDIRECT("'" &amp; M$42 &amp; "'!H" &amp; 10)</f>
        <v>1441.18</v>
      </c>
      <c r="N49" s="12" cm="1">
        <f t="array" aca="1" ref="N49" ca="1">INDIRECT("'" &amp; N$42 &amp; "'!H" &amp; 10)</f>
        <v>0</v>
      </c>
      <c r="O49" s="22">
        <f ca="1">SUM(C49:N49)</f>
        <v>2433.2800000000002</v>
      </c>
    </row>
    <row r="50" spans="2:15" s="95" customFormat="1" ht="21" x14ac:dyDescent="0.35">
      <c r="B50" s="95" t="s">
        <v>35</v>
      </c>
      <c r="C50" s="10" cm="1">
        <f t="array" aca="1" ref="C50" ca="1">INDIRECT("'" &amp; C$42 &amp; "'!H" &amp; 14)</f>
        <v>200.10999999999996</v>
      </c>
      <c r="D50" s="10" cm="1">
        <f t="array" aca="1" ref="D50" ca="1">INDIRECT("'" &amp; D$42 &amp; "'!H" &amp; 14)</f>
        <v>669.01</v>
      </c>
      <c r="E50" s="10" cm="1">
        <f t="array" aca="1" ref="E50" ca="1">INDIRECT("'" &amp; E$42 &amp; "'!H" &amp; 14)</f>
        <v>-717.21</v>
      </c>
      <c r="F50" s="10" cm="1">
        <f t="array" aca="1" ref="F50" ca="1">INDIRECT("'" &amp; F$42 &amp; "'!H" &amp; 14)</f>
        <v>1738.68</v>
      </c>
      <c r="G50" s="10" cm="1">
        <f t="array" aca="1" ref="G50" ca="1">INDIRECT("'" &amp; G$42 &amp; "'!H" &amp; 14)</f>
        <v>2041.9199999999998</v>
      </c>
      <c r="H50" s="10" cm="1">
        <f t="array" aca="1" ref="H50" ca="1">INDIRECT("'" &amp; H$42 &amp; "'!H" &amp; 14)</f>
        <v>-414.93999999999994</v>
      </c>
      <c r="I50" s="10" cm="1">
        <f t="array" aca="1" ref="I50" ca="1">INDIRECT("'" &amp; I$42 &amp; "'!H" &amp; 14)</f>
        <v>-254.19000000000005</v>
      </c>
      <c r="J50" s="10" cm="1">
        <f t="array" aca="1" ref="J50" ca="1">INDIRECT("'" &amp; J$42 &amp; "'!H" &amp; 14)</f>
        <v>6110.8700000000008</v>
      </c>
      <c r="K50" s="10" cm="1">
        <f t="array" aca="1" ref="K50" ca="1">INDIRECT("'" &amp; K$42 &amp; "'!H" &amp; 14)</f>
        <v>2060.4700000000003</v>
      </c>
      <c r="L50" s="10" cm="1">
        <f t="array" aca="1" ref="L50" ca="1">INDIRECT("'" &amp; L$42 &amp; "'!H" &amp; 14)</f>
        <v>1394.3500000000001</v>
      </c>
      <c r="M50" s="10" cm="1">
        <f t="array" aca="1" ref="M50" ca="1">INDIRECT("'" &amp; M$42 &amp; "'!H" &amp; 14)</f>
        <v>7662.3600000000006</v>
      </c>
      <c r="N50" s="12" cm="1">
        <f t="array" aca="1" ref="N50" ca="1">INDIRECT("'" &amp; N$42 &amp; "'!H" &amp; 14)</f>
        <v>504.92000000000007</v>
      </c>
      <c r="O50" s="22">
        <f ca="1">SUM(C50:N50)</f>
        <v>20996.35</v>
      </c>
    </row>
    <row r="51" spans="2:15" s="95" customFormat="1" ht="21" x14ac:dyDescent="0.35">
      <c r="B51" s="95" t="s">
        <v>50</v>
      </c>
      <c r="C51" s="10" cm="1">
        <f t="array" aca="1" ref="C51" ca="1">INDIRECT("'" &amp; C$42 &amp; "'!L" &amp; 10)</f>
        <v>10</v>
      </c>
      <c r="D51" s="10" cm="1">
        <f t="array" aca="1" ref="D51" ca="1">INDIRECT("'" &amp; D$42 &amp; "'!L" &amp; 10)</f>
        <v>10</v>
      </c>
      <c r="E51" s="10" cm="1">
        <f t="array" aca="1" ref="E51" ca="1">INDIRECT("'" &amp; E$42 &amp; "'!L" &amp; 10)</f>
        <v>10</v>
      </c>
      <c r="F51" s="10" cm="1">
        <f t="array" aca="1" ref="F51" ca="1">INDIRECT("'" &amp; F$42 &amp; "'!L" &amp; 10)</f>
        <v>10</v>
      </c>
      <c r="G51" s="10" cm="1">
        <f t="array" aca="1" ref="G51" ca="1">INDIRECT("'" &amp; G$42 &amp; "'!L" &amp; 10)</f>
        <v>10</v>
      </c>
      <c r="H51" s="10" cm="1">
        <f t="array" aca="1" ref="H51" ca="1">INDIRECT("'" &amp; H$42 &amp; "'!L" &amp; 10)</f>
        <v>10</v>
      </c>
      <c r="I51" s="10" cm="1">
        <f t="array" aca="1" ref="I51" ca="1">INDIRECT("'" &amp; I$42 &amp; "'!L" &amp; 10)</f>
        <v>10</v>
      </c>
      <c r="J51" s="10" cm="1">
        <f t="array" aca="1" ref="J51" ca="1">INDIRECT("'" &amp; J$42 &amp; "'!L" &amp; 10)</f>
        <v>10</v>
      </c>
      <c r="K51" s="10" cm="1">
        <f t="array" aca="1" ref="K51" ca="1">INDIRECT("'" &amp; K$42 &amp; "'!L" &amp; 10)</f>
        <v>10</v>
      </c>
      <c r="L51" s="10" cm="1">
        <f t="array" aca="1" ref="L51" ca="1">INDIRECT("'" &amp; L$42 &amp; "'!L" &amp; 10)</f>
        <v>10</v>
      </c>
      <c r="M51" s="10" cm="1">
        <f t="array" aca="1" ref="M51" ca="1">INDIRECT("'" &amp; M$42 &amp; "'!L" &amp; 10)</f>
        <v>10</v>
      </c>
      <c r="N51" s="10" cm="1">
        <f t="array" aca="1" ref="N51" ca="1">INDIRECT("'" &amp; N$42 &amp; "'!L" &amp; 10)</f>
        <v>200</v>
      </c>
      <c r="O51" s="22">
        <f ca="1">SUM(C51:N51)</f>
        <v>310</v>
      </c>
    </row>
    <row r="52" spans="2:15" s="95" customFormat="1" ht="21" x14ac:dyDescent="0.35">
      <c r="B52" s="104" t="s">
        <v>70</v>
      </c>
      <c r="C52" s="13">
        <f t="shared" ref="C52:N52" ca="1" si="6">C50-C51</f>
        <v>190.10999999999996</v>
      </c>
      <c r="D52" s="13">
        <f t="shared" ca="1" si="6"/>
        <v>659.01</v>
      </c>
      <c r="E52" s="13">
        <f t="shared" ca="1" si="6"/>
        <v>-727.21</v>
      </c>
      <c r="F52" s="13">
        <f t="shared" ca="1" si="6"/>
        <v>1728.68</v>
      </c>
      <c r="G52" s="13">
        <f t="shared" ca="1" si="6"/>
        <v>2031.9199999999998</v>
      </c>
      <c r="H52" s="13">
        <f t="shared" ca="1" si="6"/>
        <v>-424.93999999999994</v>
      </c>
      <c r="I52" s="13">
        <f t="shared" ca="1" si="6"/>
        <v>-264.19000000000005</v>
      </c>
      <c r="J52" s="13">
        <f t="shared" ca="1" si="6"/>
        <v>6100.8700000000008</v>
      </c>
      <c r="K52" s="13">
        <f t="shared" ca="1" si="6"/>
        <v>2050.4700000000003</v>
      </c>
      <c r="L52" s="13">
        <f t="shared" ca="1" si="6"/>
        <v>1384.3500000000001</v>
      </c>
      <c r="M52" s="13">
        <f t="shared" ca="1" si="6"/>
        <v>7652.3600000000006</v>
      </c>
      <c r="N52" s="14">
        <f t="shared" ca="1" si="6"/>
        <v>304.92000000000007</v>
      </c>
      <c r="O52" s="23"/>
    </row>
    <row r="53" spans="2:15" s="95" customFormat="1" ht="21" x14ac:dyDescent="0.35">
      <c r="B53" s="104" t="s">
        <v>54</v>
      </c>
      <c r="C53" s="13">
        <f ca="1">C50-C49</f>
        <v>200.10999999999996</v>
      </c>
      <c r="D53" s="13">
        <f t="shared" ref="D53:N53" ca="1" si="7">D50-D49</f>
        <v>669.01</v>
      </c>
      <c r="E53" s="13">
        <f t="shared" ca="1" si="7"/>
        <v>-717.21</v>
      </c>
      <c r="F53" s="13">
        <f t="shared" ca="1" si="7"/>
        <v>1738.68</v>
      </c>
      <c r="G53" s="13">
        <f t="shared" ca="1" si="7"/>
        <v>2041.9199999999998</v>
      </c>
      <c r="H53" s="13">
        <f t="shared" ca="1" si="7"/>
        <v>-414.93999999999994</v>
      </c>
      <c r="I53" s="13">
        <f t="shared" ca="1" si="7"/>
        <v>-254.19000000000005</v>
      </c>
      <c r="J53" s="13">
        <f t="shared" ca="1" si="7"/>
        <v>5118.7700000000004</v>
      </c>
      <c r="K53" s="13">
        <f t="shared" ca="1" si="7"/>
        <v>2060.4700000000003</v>
      </c>
      <c r="L53" s="13">
        <f t="shared" ca="1" si="7"/>
        <v>1394.3500000000001</v>
      </c>
      <c r="M53" s="13">
        <f t="shared" ca="1" si="7"/>
        <v>6221.18</v>
      </c>
      <c r="N53" s="14">
        <f t="shared" ca="1" si="7"/>
        <v>504.92000000000007</v>
      </c>
      <c r="O53" s="23"/>
    </row>
    <row r="54" spans="2:15" s="95" customFormat="1" ht="21" x14ac:dyDescent="0.35">
      <c r="B54" s="95" t="s">
        <v>36</v>
      </c>
      <c r="C54" s="10" cm="1">
        <f t="array" aca="1" ref="C54" ca="1">INDIRECT("'" &amp; C$42 &amp; "'!B" &amp; 10)</f>
        <v>157.97</v>
      </c>
      <c r="D54" s="10" cm="1">
        <f t="array" aca="1" ref="D54" ca="1">INDIRECT("'" &amp; D$42 &amp; "'!B" &amp; 10)</f>
        <v>358.08</v>
      </c>
      <c r="E54" s="10" cm="1">
        <f t="array" aca="1" ref="E54" ca="1">INDIRECT("'" &amp; E$42 &amp; "'!B" &amp; 10)</f>
        <v>1027.0899999999999</v>
      </c>
      <c r="F54" s="10" cm="1">
        <f t="array" aca="1" ref="F54" ca="1">INDIRECT("'" &amp; F$42 &amp; "'!B" &amp; 10)</f>
        <v>309.87999999999988</v>
      </c>
      <c r="G54" s="10" cm="1">
        <f t="array" aca="1" ref="G54" ca="1">INDIRECT("'" &amp; G$42 &amp; "'!B" &amp; 10)</f>
        <v>2048.5599999999995</v>
      </c>
      <c r="H54" s="10" cm="1">
        <f t="array" aca="1" ref="H54" ca="1">INDIRECT("'" &amp; H$42 &amp; "'!B" &amp; 10)</f>
        <v>4090.4799999999996</v>
      </c>
      <c r="I54" s="10" cm="1">
        <f t="array" aca="1" ref="I54" ca="1">INDIRECT("'" &amp; I$42 &amp; "'!B" &amp; 10)</f>
        <v>3675.5399999999991</v>
      </c>
      <c r="J54" s="10" cm="1">
        <f t="array" aca="1" ref="J54" ca="1">INDIRECT("'" &amp; J$42 &amp; "'!B" &amp; 10)</f>
        <v>4413.4499999999989</v>
      </c>
      <c r="K54" s="10" cm="1">
        <f t="array" aca="1" ref="K54" ca="1">INDIRECT("'" &amp; K$42 &amp; "'!B" &amp; 10)</f>
        <v>9532.2199999999975</v>
      </c>
      <c r="L54" s="10" cm="1">
        <f t="array" aca="1" ref="L54" ca="1">INDIRECT("'" &amp; L$42 &amp; "'!B" &amp; 10)</f>
        <v>11592.689999999999</v>
      </c>
      <c r="M54" s="10" cm="1">
        <f t="array" aca="1" ref="M54" ca="1">INDIRECT("'" &amp; M$42 &amp; "'!B" &amp; 10)</f>
        <v>14428.22</v>
      </c>
      <c r="N54" s="12" cm="1">
        <f t="array" aca="1" ref="N54" ca="1">INDIRECT("'" &amp; N$42 &amp; "'!B" &amp; 10)</f>
        <v>20649.400000000001</v>
      </c>
      <c r="O54" s="155">
        <f ca="1">MAX(Tableau31[[#This Row],[JANVIER]:[DÉCEMBRE]])</f>
        <v>20649.400000000001</v>
      </c>
    </row>
    <row r="55" spans="2:15" s="95" customFormat="1" ht="21" x14ac:dyDescent="0.35">
      <c r="B55" s="95" t="s">
        <v>68</v>
      </c>
      <c r="C55" s="10" cm="1">
        <f t="array" aca="1" ref="C55" ca="1">INDIRECT("'" &amp; C$42 &amp; "'!B" &amp; 14)</f>
        <v>358.08</v>
      </c>
      <c r="D55" s="10" cm="1">
        <f t="array" aca="1" ref="D55" ca="1">INDIRECT("'" &amp; D$42 &amp; "'!B" &amp; 14)</f>
        <v>1027.0899999999999</v>
      </c>
      <c r="E55" s="10" cm="1">
        <f t="array" aca="1" ref="E55" ca="1">INDIRECT("'" &amp; E$42 &amp; "'!B" &amp; 14)</f>
        <v>309.87999999999988</v>
      </c>
      <c r="F55" s="10" cm="1">
        <f t="array" aca="1" ref="F55" ca="1">INDIRECT("'" &amp; F$42 &amp; "'!B" &amp; 14)</f>
        <v>2048.5599999999995</v>
      </c>
      <c r="G55" s="10" cm="1">
        <f t="array" aca="1" ref="G55" ca="1">INDIRECT("'" &amp; G$42 &amp; "'!B" &amp; 14)</f>
        <v>4090.4799999999996</v>
      </c>
      <c r="H55" s="10" cm="1">
        <f t="array" aca="1" ref="H55" ca="1">INDIRECT("'" &amp; H$42 &amp; "'!B" &amp; 14)</f>
        <v>3675.5399999999991</v>
      </c>
      <c r="I55" s="10" cm="1">
        <f t="array" aca="1" ref="I55" ca="1">INDIRECT("'" &amp; I$42 &amp; "'!B" &amp; 14)</f>
        <v>3421.3499999999985</v>
      </c>
      <c r="J55" s="10" cm="1">
        <f t="array" aca="1" ref="J55" ca="1">INDIRECT("'" &amp; J$42 &amp; "'!B" &amp; 14)</f>
        <v>9532.2199999999975</v>
      </c>
      <c r="K55" s="10" cm="1">
        <f t="array" aca="1" ref="K55" ca="1">INDIRECT("'" &amp; K$42 &amp; "'!B" &amp; 14)</f>
        <v>11592.689999999999</v>
      </c>
      <c r="L55" s="10" cm="1">
        <f t="array" aca="1" ref="L55" ca="1">INDIRECT("'" &amp; L$42 &amp; "'!B" &amp; 14)</f>
        <v>12987.039999999999</v>
      </c>
      <c r="M55" s="10" cm="1">
        <f t="array" aca="1" ref="M55" ca="1">INDIRECT("'" &amp; M$42 &amp; "'!B" &amp; 14)</f>
        <v>20649.400000000001</v>
      </c>
      <c r="N55" s="12" cm="1">
        <f t="array" aca="1" ref="N55" ca="1">INDIRECT("'" &amp; N$42 &amp; "'!B" &amp; 14)</f>
        <v>21154.320000000003</v>
      </c>
      <c r="O55" s="155">
        <f ca="1">MAX(Tableau31[[#This Row],[JANVIER]:[DÉCEMBRE]])</f>
        <v>21154.320000000003</v>
      </c>
    </row>
    <row r="56" spans="2:15" s="95" customFormat="1" ht="21" x14ac:dyDescent="0.35">
      <c r="B56" s="95" t="s">
        <v>52</v>
      </c>
      <c r="C56" s="10" cm="1">
        <f t="array" aca="1" ref="C56" ca="1">INDIRECT("'" &amp; C$42 &amp; "'!L" &amp; 14)</f>
        <v>167.97</v>
      </c>
      <c r="D56" s="10" cm="1">
        <f t="array" aca="1" ref="D56" ca="1">INDIRECT("'" &amp; D$42 &amp; "'!L" &amp; 14)</f>
        <v>368.08</v>
      </c>
      <c r="E56" s="10" cm="1">
        <f t="array" aca="1" ref="E56" ca="1">INDIRECT("'" &amp; E$42 &amp; "'!L" &amp; 14)</f>
        <v>1037.0899999999999</v>
      </c>
      <c r="F56" s="10" cm="1">
        <f t="array" aca="1" ref="F56" ca="1">INDIRECT("'" &amp; F$42 &amp; "'!L" &amp; 14)</f>
        <v>319.87999999999988</v>
      </c>
      <c r="G56" s="10" cm="1">
        <f t="array" aca="1" ref="G56" ca="1">INDIRECT("'" &amp; G$42 &amp; "'!L" &amp; 14)</f>
        <v>2058.5599999999995</v>
      </c>
      <c r="H56" s="10" cm="1">
        <f t="array" aca="1" ref="H56" ca="1">INDIRECT("'" &amp; H$42 &amp; "'!L" &amp; 14)</f>
        <v>4100.4799999999996</v>
      </c>
      <c r="I56" s="10" cm="1">
        <f t="array" aca="1" ref="I56" ca="1">INDIRECT("'" &amp; I$42 &amp; "'!L" &amp; 14)</f>
        <v>3685.5399999999991</v>
      </c>
      <c r="J56" s="10" cm="1">
        <f t="array" aca="1" ref="J56" ca="1">INDIRECT("'" &amp; J$42 &amp; "'!L" &amp; 14)</f>
        <v>3431.3499999999985</v>
      </c>
      <c r="K56" s="10" cm="1">
        <f t="array" aca="1" ref="K56" ca="1">INDIRECT("'" &amp; K$42 &amp; "'!L" &amp; 14)</f>
        <v>9542.2199999999975</v>
      </c>
      <c r="L56" s="10" cm="1">
        <f t="array" aca="1" ref="L56" ca="1">INDIRECT("'" &amp; L$42 &amp; "'!L" &amp; 14)</f>
        <v>11602.689999999999</v>
      </c>
      <c r="M56" s="10" cm="1">
        <f t="array" aca="1" ref="M56" ca="1">INDIRECT("'" &amp; M$42 &amp; "'!L" &amp; 14)</f>
        <v>12997.039999999999</v>
      </c>
      <c r="N56" s="10" cm="1">
        <f t="array" aca="1" ref="N56" ca="1">INDIRECT("'" &amp; N$42 &amp; "'!L" &amp; 14)</f>
        <v>20849.400000000001</v>
      </c>
      <c r="O56" s="155">
        <f ca="1">MAX(Tableau31[[#This Row],[JANVIER]:[DÉCEMBRE]])</f>
        <v>20849.400000000001</v>
      </c>
    </row>
    <row r="57" spans="2:15" s="95" customFormat="1" ht="21.75" thickBot="1" x14ac:dyDescent="0.4">
      <c r="B57" s="105" t="s">
        <v>53</v>
      </c>
      <c r="C57" s="15">
        <f ca="1">C55-C56</f>
        <v>190.10999999999999</v>
      </c>
      <c r="D57" s="15">
        <f t="shared" ref="D57:N57" ca="1" si="8">D55-D56</f>
        <v>659.01</v>
      </c>
      <c r="E57" s="15">
        <f t="shared" ca="1" si="8"/>
        <v>-727.21</v>
      </c>
      <c r="F57" s="15">
        <f t="shared" ca="1" si="8"/>
        <v>1728.6799999999996</v>
      </c>
      <c r="G57" s="15">
        <f t="shared" ca="1" si="8"/>
        <v>2031.92</v>
      </c>
      <c r="H57" s="15">
        <f t="shared" ca="1" si="8"/>
        <v>-424.94000000000051</v>
      </c>
      <c r="I57" s="15">
        <f t="shared" ca="1" si="8"/>
        <v>-264.19000000000051</v>
      </c>
      <c r="J57" s="15">
        <f t="shared" ca="1" si="8"/>
        <v>6100.869999999999</v>
      </c>
      <c r="K57" s="15">
        <f t="shared" ca="1" si="8"/>
        <v>2050.4700000000012</v>
      </c>
      <c r="L57" s="15">
        <f t="shared" ca="1" si="8"/>
        <v>1384.3500000000004</v>
      </c>
      <c r="M57" s="15">
        <f t="shared" ca="1" si="8"/>
        <v>7652.3600000000024</v>
      </c>
      <c r="N57" s="16">
        <f t="shared" ca="1" si="8"/>
        <v>304.92000000000189</v>
      </c>
      <c r="O57" s="23"/>
    </row>
    <row r="58" spans="2:15" s="95" customFormat="1" ht="21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2:15" s="95" customFormat="1" ht="21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2:15" s="95" customFormat="1" ht="21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2:15" s="95" customFormat="1" ht="21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</sheetData>
  <sheetProtection algorithmName="SHA-512" hashValue="ejmN7VhLEyXbLBPRymgztomQhTBI83fEGd4vhfdKHKjkh09/+exiA/SJmJsSRaLwYDx9lNe2+Ul/j1eaG9XCfA==" saltValue="LbsrLqRFJwkUgKjEJFo1JA==" spinCount="100000" sheet="1" formatCells="0" formatColumns="0" formatRows="0" selectLockedCells="1" sort="0" autoFilter="0"/>
  <mergeCells count="2">
    <mergeCell ref="B1:N1"/>
    <mergeCell ref="B2:N2"/>
  </mergeCells>
  <conditionalFormatting sqref="C52:N53 C57:N57">
    <cfRule type="cellIs" dxfId="53" priority="5" operator="greaterThan">
      <formula>0</formula>
    </cfRule>
    <cfRule type="cellIs" dxfId="52" priority="6" operator="lessThan">
      <formula>0</formula>
    </cfRule>
  </conditionalFormatting>
  <conditionalFormatting sqref="F23:G34 K23:K34">
    <cfRule type="cellIs" dxfId="51" priority="1" operator="greaterThan">
      <formula>0</formula>
    </cfRule>
    <cfRule type="cellIs" dxfId="5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AA8E-4CF4-4DCC-BCD4-399943B8A1FF}">
  <sheetPr codeName="Feuil4"/>
  <dimension ref="A1:O28"/>
  <sheetViews>
    <sheetView zoomScale="60" zoomScaleNormal="60" workbookViewId="0">
      <selection activeCell="H20" sqref="H20"/>
    </sheetView>
  </sheetViews>
  <sheetFormatPr baseColWidth="10" defaultColWidth="10.7109375" defaultRowHeight="15" x14ac:dyDescent="0.25"/>
  <cols>
    <col min="1" max="4" width="10.7109375" style="3"/>
    <col min="5" max="5" width="30.42578125" style="17" bestFit="1" customWidth="1"/>
    <col min="6" max="6" width="10.7109375" style="3"/>
    <col min="7" max="7" width="30.42578125" style="17" bestFit="1" customWidth="1"/>
    <col min="8" max="8" width="10.7109375" style="17"/>
    <col min="9" max="9" width="29" style="3" bestFit="1" customWidth="1"/>
    <col min="10" max="10" width="10.7109375" style="3"/>
    <col min="11" max="11" width="35.7109375" style="17" bestFit="1" customWidth="1"/>
    <col min="12" max="12" width="10.7109375" style="3"/>
    <col min="13" max="13" width="35.28515625" style="17" bestFit="1" customWidth="1"/>
    <col min="14" max="14" width="6.42578125" style="3" customWidth="1"/>
    <col min="15" max="15" width="35.28515625" style="3" customWidth="1"/>
    <col min="16" max="16384" width="10.7109375" style="3"/>
  </cols>
  <sheetData>
    <row r="1" spans="1:15" ht="76.5" customHeight="1" thickBot="1" x14ac:dyDescent="0.3">
      <c r="E1" s="254" t="s">
        <v>0</v>
      </c>
      <c r="F1" s="257"/>
      <c r="G1" s="257"/>
      <c r="H1" s="257"/>
      <c r="I1" s="257"/>
      <c r="J1" s="257"/>
      <c r="K1" s="257"/>
      <c r="L1" s="257"/>
      <c r="M1" s="257"/>
      <c r="N1" s="258"/>
    </row>
    <row r="2" spans="1:15" ht="64.5" thickBot="1" x14ac:dyDescent="0.3">
      <c r="E2" s="254">
        <f>'TABLEAU ANNUEL'!B2</f>
        <v>2026</v>
      </c>
      <c r="F2" s="257"/>
      <c r="G2" s="257"/>
      <c r="H2" s="257"/>
      <c r="I2" s="257"/>
      <c r="J2" s="257"/>
      <c r="K2" s="257"/>
      <c r="L2" s="257"/>
      <c r="M2" s="257"/>
      <c r="N2" s="258"/>
    </row>
    <row r="3" spans="1:15" x14ac:dyDescent="0.25">
      <c r="E3" s="17" t="s">
        <v>98</v>
      </c>
    </row>
    <row r="4" spans="1:15" ht="21" x14ac:dyDescent="0.35">
      <c r="A4" s="271" t="s">
        <v>15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</row>
    <row r="5" spans="1:15" ht="15.75" thickBot="1" x14ac:dyDescent="0.3"/>
    <row r="6" spans="1:15" ht="50.25" customHeight="1" x14ac:dyDescent="0.25">
      <c r="B6" s="259" t="s">
        <v>65</v>
      </c>
      <c r="C6" s="260"/>
      <c r="E6" s="20" t="s">
        <v>16</v>
      </c>
      <c r="F6" s="3" t="s">
        <v>17</v>
      </c>
      <c r="G6" s="20" t="s">
        <v>67</v>
      </c>
      <c r="I6" s="20" t="s">
        <v>63</v>
      </c>
      <c r="J6" s="3" t="s">
        <v>17</v>
      </c>
      <c r="K6" s="20" t="s">
        <v>32</v>
      </c>
      <c r="L6" s="3" t="s">
        <v>17</v>
      </c>
      <c r="M6" s="20" t="s">
        <v>31</v>
      </c>
      <c r="N6" s="3" t="s">
        <v>17</v>
      </c>
      <c r="O6" s="20" t="s">
        <v>73</v>
      </c>
    </row>
    <row r="7" spans="1:15" ht="38.25" customHeight="1" thickBot="1" x14ac:dyDescent="0.35">
      <c r="B7" s="261"/>
      <c r="C7" s="262"/>
      <c r="E7" s="1">
        <f ca="1">'TABLEAU ANNUEL'!C19</f>
        <v>29089.220000000005</v>
      </c>
      <c r="F7" s="18"/>
      <c r="G7" s="1">
        <f ca="1">'TABLEAU ANNUEL'!D19</f>
        <v>8092.87</v>
      </c>
      <c r="H7" s="19"/>
      <c r="I7" s="1">
        <f ca="1">'TABLEAU ANNUEL'!E19</f>
        <v>20996.35</v>
      </c>
      <c r="J7" s="18"/>
      <c r="K7" s="1" t="str">
        <f ca="1">INDEX('TABLEAU ANNUEL'!C42:N42,MATCH(MAX('TABLEAU ANNUEL'!C45:N45),'TABLEAU ANNUEL'!C45:N45,0))</f>
        <v>NOVEMBRE</v>
      </c>
      <c r="L7" s="18"/>
      <c r="M7" s="1" t="str">
        <f ca="1">INDEX('TABLEAU ANNUEL'!C42:N42,MATCH(MAX('TABLEAU ANNUEL'!C44:N44),'TABLEAU ANNUEL'!C44:N44,0))</f>
        <v>JUIN</v>
      </c>
      <c r="O7" s="1" t="str">
        <f ca="1">INDEX('TABLEAU ANNUEL'!C42:N42,MATCH(MAX('TABLEAU ANNUEL'!C43:N43),'TABLEAU ANNUEL'!C43:N43,0))</f>
        <v>NOVEMBRE</v>
      </c>
    </row>
    <row r="9" spans="1:15" ht="15.75" thickBot="1" x14ac:dyDescent="0.3"/>
    <row r="10" spans="1:15" ht="18.75" customHeight="1" x14ac:dyDescent="0.25">
      <c r="E10" s="158"/>
      <c r="G10" s="158"/>
      <c r="I10" s="158"/>
      <c r="K10" s="20" t="s">
        <v>72</v>
      </c>
      <c r="M10" s="20" t="s">
        <v>71</v>
      </c>
      <c r="O10" s="20" t="s">
        <v>74</v>
      </c>
    </row>
    <row r="11" spans="1:15" ht="37.5" customHeight="1" thickBot="1" x14ac:dyDescent="0.3">
      <c r="E11" s="159"/>
      <c r="G11" s="159"/>
      <c r="I11" s="159"/>
      <c r="K11" s="1" t="str">
        <f ca="1">INDEX('TABLEAU ANNUEL'!C42:N42,MATCH(MIN('TABLEAU ANNUEL'!C45:N45),'TABLEAU ANNUEL'!C45:N45,0))</f>
        <v>MARS</v>
      </c>
      <c r="M11" s="1" t="str">
        <f ca="1">INDEX('TABLEAU ANNUEL'!C42:N42,MATCH(MIN('TABLEAU ANNUEL'!C44:N44),'TABLEAU ANNUEL'!C44:N44,0))</f>
        <v>JANVIER</v>
      </c>
      <c r="O11" s="1" t="str" cm="1">
        <f t="array" aca="1" ref="O11" ca="1">INDEX('TABLEAU ANNUEL'!C42:N42,MATCH(SMALL(IF('TABLEAU ANNUEL'!C43:N43&gt;0,'TABLEAU ANNUEL'!C43:N43),1),'TABLEAU ANNUEL'!C43:N43,0))</f>
        <v>JANVIER</v>
      </c>
    </row>
    <row r="18" spans="2:15" ht="15.75" thickBot="1" x14ac:dyDescent="0.3"/>
    <row r="19" spans="2:15" ht="24.75" customHeight="1" x14ac:dyDescent="0.25">
      <c r="B19" s="263" t="s">
        <v>66</v>
      </c>
      <c r="C19" s="264"/>
      <c r="E19" s="21" t="s">
        <v>63</v>
      </c>
      <c r="G19" s="158"/>
      <c r="I19" s="158"/>
      <c r="K19" s="158"/>
      <c r="M19" s="158"/>
      <c r="O19" s="158"/>
    </row>
    <row r="20" spans="2:15" ht="42.75" customHeight="1" thickBot="1" x14ac:dyDescent="0.35">
      <c r="B20" s="265"/>
      <c r="C20" s="266"/>
      <c r="E20" s="1">
        <f ca="1">'TABLEAU ANNUEL'!O49</f>
        <v>2433.2800000000002</v>
      </c>
      <c r="G20" s="159"/>
      <c r="I20" s="159"/>
      <c r="K20" s="159"/>
      <c r="L20" s="18"/>
      <c r="M20" s="159"/>
      <c r="O20" s="159"/>
    </row>
    <row r="23" spans="2:15" ht="31.5" customHeight="1" x14ac:dyDescent="0.25">
      <c r="K23" s="158"/>
      <c r="M23" s="158"/>
      <c r="O23" s="158"/>
    </row>
    <row r="24" spans="2:15" ht="34.5" customHeight="1" x14ac:dyDescent="0.25">
      <c r="K24" s="159"/>
      <c r="M24" s="159"/>
      <c r="O24" s="159"/>
    </row>
    <row r="26" spans="2:15" ht="15.75" thickBot="1" x14ac:dyDescent="0.3"/>
    <row r="27" spans="2:15" x14ac:dyDescent="0.25">
      <c r="B27" s="267" t="s">
        <v>38</v>
      </c>
      <c r="C27" s="268"/>
      <c r="E27" s="2" t="s">
        <v>64</v>
      </c>
      <c r="F27"/>
      <c r="G27" s="2" t="s">
        <v>63</v>
      </c>
      <c r="I27" s="158"/>
      <c r="K27" s="158"/>
    </row>
    <row r="28" spans="2:15" ht="40.5" customHeight="1" thickBot="1" x14ac:dyDescent="0.3">
      <c r="B28" s="269"/>
      <c r="C28" s="270"/>
      <c r="E28" s="1">
        <f ca="1">'TABLEAU ANNUEL'!O56</f>
        <v>20849.400000000001</v>
      </c>
      <c r="F28"/>
      <c r="G28" s="1">
        <f ca="1">'TABLEAU ANNUEL'!O51</f>
        <v>310</v>
      </c>
      <c r="I28" s="159"/>
      <c r="K28" s="159"/>
    </row>
  </sheetData>
  <sheetProtection algorithmName="SHA-512" hashValue="9cZFrkSGFodYnwtNgl7qBX4b2bS7bkz7KCe2Gjy3C+txHREqJXFzOUjtdLaQn4FfiXKMLYIzvPGle/uqMboyQQ==" saltValue="wW0RsqESqPomy2Gg/3g6ew==" spinCount="100000" sheet="1" formatCells="0" formatColumns="0" formatRows="0" selectLockedCells="1" autoFilter="0"/>
  <mergeCells count="6">
    <mergeCell ref="E1:N1"/>
    <mergeCell ref="B6:C7"/>
    <mergeCell ref="B19:C20"/>
    <mergeCell ref="B27:C28"/>
    <mergeCell ref="A4:O4"/>
    <mergeCell ref="E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0645-0D25-428B-B779-222446B88D56}">
  <dimension ref="A1:O22"/>
  <sheetViews>
    <sheetView zoomScale="60" zoomScaleNormal="60" workbookViewId="0">
      <selection activeCell="F9" sqref="F9"/>
    </sheetView>
  </sheetViews>
  <sheetFormatPr baseColWidth="10" defaultColWidth="10.7109375" defaultRowHeight="15" x14ac:dyDescent="0.25"/>
  <cols>
    <col min="1" max="4" width="10.7109375" style="3"/>
    <col min="5" max="5" width="30.42578125" style="17" bestFit="1" customWidth="1"/>
    <col min="6" max="6" width="10.7109375" style="3"/>
    <col min="7" max="7" width="30.42578125" style="17" bestFit="1" customWidth="1"/>
    <col min="8" max="8" width="10.7109375" style="17"/>
    <col min="9" max="9" width="29" style="3" bestFit="1" customWidth="1"/>
    <col min="10" max="10" width="10.7109375" style="3"/>
    <col min="11" max="11" width="45.42578125" style="17" bestFit="1" customWidth="1"/>
    <col min="12" max="12" width="10.7109375" style="3"/>
    <col min="13" max="13" width="41.42578125" style="17" bestFit="1" customWidth="1"/>
    <col min="14" max="14" width="7.42578125" style="3" customWidth="1"/>
    <col min="15" max="15" width="40.140625" style="3" bestFit="1" customWidth="1"/>
    <col min="16" max="16384" width="10.7109375" style="3"/>
  </cols>
  <sheetData>
    <row r="1" spans="1:15" ht="76.5" customHeight="1" thickBot="1" x14ac:dyDescent="0.3">
      <c r="E1" s="254" t="s">
        <v>0</v>
      </c>
      <c r="F1" s="257"/>
      <c r="G1" s="257"/>
      <c r="H1" s="257"/>
      <c r="I1" s="257"/>
      <c r="J1" s="257"/>
      <c r="K1" s="257"/>
      <c r="L1" s="257"/>
      <c r="M1" s="257"/>
      <c r="N1" s="258"/>
    </row>
    <row r="2" spans="1:15" ht="64.5" thickBot="1" x14ac:dyDescent="0.3">
      <c r="E2" s="253">
        <f>'TABLEAU ANNUEL'!B2</f>
        <v>2026</v>
      </c>
      <c r="F2" s="272"/>
      <c r="G2" s="272"/>
      <c r="H2" s="272"/>
      <c r="I2" s="272"/>
      <c r="J2" s="272"/>
      <c r="K2" s="272"/>
      <c r="L2" s="272"/>
      <c r="M2" s="272"/>
      <c r="N2" s="273"/>
    </row>
    <row r="4" spans="1:15" ht="21" x14ac:dyDescent="0.35">
      <c r="A4" s="271" t="s">
        <v>15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</row>
    <row r="5" spans="1:15" ht="15.75" thickBot="1" x14ac:dyDescent="0.3"/>
    <row r="6" spans="1:15" ht="50.25" customHeight="1" x14ac:dyDescent="0.25">
      <c r="B6" s="259" t="s">
        <v>65</v>
      </c>
      <c r="C6" s="260"/>
      <c r="E6" s="20" t="s">
        <v>16</v>
      </c>
      <c r="F6" s="3" t="s">
        <v>17</v>
      </c>
      <c r="G6" s="20" t="s">
        <v>67</v>
      </c>
      <c r="I6" s="20" t="s">
        <v>63</v>
      </c>
      <c r="J6" s="3" t="s">
        <v>17</v>
      </c>
      <c r="K6" s="20" t="s">
        <v>90</v>
      </c>
      <c r="L6" s="3" t="s">
        <v>17</v>
      </c>
      <c r="M6" s="20" t="s">
        <v>91</v>
      </c>
      <c r="N6" s="3" t="s">
        <v>17</v>
      </c>
      <c r="O6" s="20" t="s">
        <v>94</v>
      </c>
    </row>
    <row r="7" spans="1:15" ht="38.25" customHeight="1" thickBot="1" x14ac:dyDescent="0.35">
      <c r="B7" s="261"/>
      <c r="C7" s="262"/>
      <c r="E7" s="1">
        <f ca="1">'TABLEAU TRIMESTRIEL'!C9</f>
        <v>26655.94</v>
      </c>
      <c r="F7" s="18"/>
      <c r="G7" s="1">
        <f ca="1">'TABLEAU TRIMESTRIEL'!D9</f>
        <v>8092.869999999999</v>
      </c>
      <c r="H7" s="19"/>
      <c r="I7" s="1">
        <f ca="1">'TABLEAU TRIMESTRIEL'!E9</f>
        <v>11638.02</v>
      </c>
      <c r="J7" s="18"/>
      <c r="K7" s="1" t="str">
        <f ca="1">INDEX('TABLEAU TRIMESTRIEL'!C13:F13,MATCH(MAX('TABLEAU TRIMESTRIEL'!C16:F16),'TABLEAU TRIMESTRIEL'!C16:F16,0))</f>
        <v>T4</v>
      </c>
      <c r="L7" s="18"/>
      <c r="M7" s="1" t="str">
        <f ca="1">INDEX('TABLEAU TRIMESTRIEL'!C13:F13,MATCH(MAX('TABLEAU TRIMESTRIEL'!C15:F15),'TABLEAU TRIMESTRIEL'!C15:F15,0))</f>
        <v>T3</v>
      </c>
      <c r="O7" s="1" t="str">
        <f ca="1">INDEX('TABLEAU TRIMESTRIEL'!C13:F13,MATCH(MAX('TABLEAU TRIMESTRIEL'!C14:F14),'TABLEAU TRIMESTRIEL'!C14:F14,0))</f>
        <v>T4</v>
      </c>
    </row>
    <row r="9" spans="1:15" ht="15.75" thickBot="1" x14ac:dyDescent="0.3"/>
    <row r="10" spans="1:15" ht="18.75" customHeight="1" x14ac:dyDescent="0.25">
      <c r="E10" s="158"/>
      <c r="G10" s="158"/>
      <c r="I10" s="158"/>
      <c r="K10" s="20" t="s">
        <v>92</v>
      </c>
      <c r="M10" s="20" t="s">
        <v>93</v>
      </c>
      <c r="O10" s="20" t="s">
        <v>95</v>
      </c>
    </row>
    <row r="11" spans="1:15" ht="37.5" customHeight="1" thickBot="1" x14ac:dyDescent="0.3">
      <c r="E11" s="159"/>
      <c r="G11" s="159"/>
      <c r="I11" s="159"/>
      <c r="K11" s="1" t="str">
        <f ca="1">INDEX('TABLEAU TRIMESTRIEL'!C13:F13,MATCH(MIN('TABLEAU TRIMESTRIEL'!C16:F16),'TABLEAU TRIMESTRIEL'!C16:F16,0))</f>
        <v>T3</v>
      </c>
      <c r="M11" s="1" t="str">
        <f ca="1">INDEX('TABLEAU TRIMESTRIEL'!C13:F13,MATCH(MIN('TABLEAU TRIMESTRIEL'!C15:F15),'TABLEAU TRIMESTRIEL'!C15:F15,0))</f>
        <v>T1</v>
      </c>
      <c r="O11" s="1" t="str">
        <f ca="1">INDEX('TABLEAU TRIMESTRIEL'!C13:F13,MATCH(MIN('TABLEAU TRIMESTRIEL'!C14:F14),'TABLEAU TRIMESTRIEL'!C14:F14,0))</f>
        <v>T1</v>
      </c>
    </row>
    <row r="12" spans="1:15" ht="16.5" customHeight="1" x14ac:dyDescent="0.25"/>
    <row r="14" spans="1:15" ht="15.75" thickBot="1" x14ac:dyDescent="0.3"/>
    <row r="15" spans="1:15" ht="24.75" customHeight="1" x14ac:dyDescent="0.25">
      <c r="B15" s="263" t="s">
        <v>66</v>
      </c>
      <c r="C15" s="264"/>
      <c r="E15" s="21" t="s">
        <v>63</v>
      </c>
      <c r="G15" s="158"/>
      <c r="I15" s="158"/>
      <c r="K15" s="158"/>
      <c r="M15" s="158"/>
      <c r="O15" s="158"/>
    </row>
    <row r="16" spans="1:15" ht="42.75" customHeight="1" thickBot="1" x14ac:dyDescent="0.35">
      <c r="B16" s="265"/>
      <c r="C16" s="266"/>
      <c r="E16" s="1">
        <f ca="1">'TABLEAU TRIMESTRIEL'!C25</f>
        <v>9358.33</v>
      </c>
      <c r="G16" s="159"/>
      <c r="I16" s="159"/>
      <c r="K16" s="159"/>
      <c r="L16" s="18"/>
      <c r="M16" s="159"/>
      <c r="O16" s="159"/>
    </row>
    <row r="20" spans="2:11" ht="15.75" thickBot="1" x14ac:dyDescent="0.3"/>
    <row r="21" spans="2:11" x14ac:dyDescent="0.25">
      <c r="B21" s="267" t="s">
        <v>38</v>
      </c>
      <c r="C21" s="268"/>
      <c r="E21" s="2" t="s">
        <v>64</v>
      </c>
      <c r="F21"/>
      <c r="G21" s="2" t="s">
        <v>63</v>
      </c>
      <c r="I21" s="158"/>
      <c r="K21" s="158"/>
    </row>
    <row r="22" spans="2:11" ht="40.5" customHeight="1" thickBot="1" x14ac:dyDescent="0.3">
      <c r="B22" s="269"/>
      <c r="C22" s="270"/>
      <c r="E22" s="1">
        <f ca="1">'TABLEAU ANNUEL'!O56</f>
        <v>20849.400000000001</v>
      </c>
      <c r="F22"/>
      <c r="G22" s="1">
        <f ca="1">'TABLEAU TRIMESTRIEL'!G16</f>
        <v>11638.02</v>
      </c>
      <c r="I22" s="159"/>
      <c r="K22" s="159"/>
    </row>
  </sheetData>
  <sheetProtection algorithmName="SHA-512" hashValue="6IGWO7HQps0pYpzHFUx5qdItNumJdFRtwgTx5DY9Ia4KlRDiGQk+2ORFMHFkKbE3kO30cNoeFkSjlk1dgoBcWg==" saltValue="qREhIRZWTetSCqAYLANPKg==" spinCount="100000" sheet="1" formatCells="0" formatColumns="0" formatRows="0" selectLockedCells="1" autoFilter="0"/>
  <mergeCells count="6">
    <mergeCell ref="E1:N1"/>
    <mergeCell ref="A4:O4"/>
    <mergeCell ref="B6:C7"/>
    <mergeCell ref="B15:C16"/>
    <mergeCell ref="B21:C22"/>
    <mergeCell ref="E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A1EF-B561-4683-9936-1E3339D004DD}">
  <sheetPr codeName="Feuil5"/>
  <dimension ref="B1:O66"/>
  <sheetViews>
    <sheetView topLeftCell="B1" zoomScale="60" zoomScaleNormal="60" workbookViewId="0">
      <selection activeCell="B2" sqref="B2:N2"/>
    </sheetView>
  </sheetViews>
  <sheetFormatPr baseColWidth="10" defaultColWidth="10.7109375" defaultRowHeight="15" x14ac:dyDescent="0.25"/>
  <cols>
    <col min="1" max="1" width="6.42578125" customWidth="1"/>
    <col min="2" max="2" width="64.7109375" bestFit="1" customWidth="1"/>
    <col min="3" max="3" width="68.42578125" bestFit="1" customWidth="1"/>
    <col min="4" max="4" width="54.85546875" bestFit="1" customWidth="1"/>
    <col min="5" max="5" width="56.140625" bestFit="1" customWidth="1"/>
    <col min="6" max="6" width="45.85546875" bestFit="1" customWidth="1"/>
    <col min="7" max="7" width="34.140625" customWidth="1"/>
    <col min="8" max="8" width="19.85546875" bestFit="1" customWidth="1"/>
    <col min="9" max="9" width="41.85546875" bestFit="1" customWidth="1"/>
    <col min="10" max="10" width="24.42578125" bestFit="1" customWidth="1"/>
    <col min="11" max="11" width="20" customWidth="1"/>
    <col min="12" max="12" width="19.42578125" customWidth="1"/>
    <col min="13" max="13" width="18.42578125" customWidth="1"/>
    <col min="14" max="14" width="18.28515625" customWidth="1"/>
    <col min="15" max="15" width="22" bestFit="1" customWidth="1"/>
  </cols>
  <sheetData>
    <row r="1" spans="2:14" ht="65.25" customHeight="1" thickBot="1" x14ac:dyDescent="0.3">
      <c r="B1" s="254" t="s">
        <v>47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6"/>
    </row>
    <row r="2" spans="2:14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6"/>
    </row>
    <row r="4" spans="2:14" x14ac:dyDescent="0.25">
      <c r="B4" s="24" t="s">
        <v>46</v>
      </c>
      <c r="C4" s="25" t="s">
        <v>2</v>
      </c>
      <c r="D4" s="26" t="s">
        <v>89</v>
      </c>
      <c r="E4" s="27" t="s">
        <v>69</v>
      </c>
    </row>
    <row r="5" spans="2:14" x14ac:dyDescent="0.25">
      <c r="B5" s="28" t="s">
        <v>40</v>
      </c>
      <c r="C5" s="29">
        <f ca="1">SUM($C41:$E41)</f>
        <v>1782.6399999999999</v>
      </c>
      <c r="D5" s="30">
        <f ca="1">SUM($C42:$E42)</f>
        <v>1630.73</v>
      </c>
      <c r="E5" s="31">
        <f ca="1">SUM($C43:$E43)</f>
        <v>151.90999999999985</v>
      </c>
    </row>
    <row r="6" spans="2:14" x14ac:dyDescent="0.25">
      <c r="B6" s="28" t="s">
        <v>42</v>
      </c>
      <c r="C6" s="29">
        <f ca="1">SUM($F41:$H41)</f>
        <v>5499.3799999999992</v>
      </c>
      <c r="D6" s="30">
        <f ca="1">SUM($F42:$H42)</f>
        <v>2133.7200000000003</v>
      </c>
      <c r="E6" s="31">
        <f ca="1">SUM($F43:$H43)</f>
        <v>3365.66</v>
      </c>
    </row>
    <row r="7" spans="2:14" x14ac:dyDescent="0.25">
      <c r="B7" s="28" t="s">
        <v>43</v>
      </c>
      <c r="C7" s="29">
        <f ca="1">SUM($I41:$K41)</f>
        <v>9018.66</v>
      </c>
      <c r="D7" s="30">
        <f ca="1">SUM($I42:$K42)</f>
        <v>2093.6099999999997</v>
      </c>
      <c r="E7" s="31">
        <f>SUM($I44:$K44)</f>
        <v>0</v>
      </c>
    </row>
    <row r="8" spans="2:14" x14ac:dyDescent="0.25">
      <c r="B8" s="28" t="s">
        <v>44</v>
      </c>
      <c r="C8" s="29">
        <f ca="1">SUM($L41:$N41)</f>
        <v>10355.26</v>
      </c>
      <c r="D8" s="30">
        <f ca="1">SUM($L42:$N42)</f>
        <v>2234.81</v>
      </c>
      <c r="E8" s="31">
        <f ca="1">SUM($L43:$N43)</f>
        <v>8120.4500000000007</v>
      </c>
    </row>
    <row r="9" spans="2:14" x14ac:dyDescent="0.25">
      <c r="B9" s="32" t="s">
        <v>1</v>
      </c>
      <c r="C9" s="33">
        <f ca="1">SUM(C5:C8)</f>
        <v>26655.94</v>
      </c>
      <c r="D9" s="34">
        <f t="shared" ref="D9:E9" ca="1" si="0">SUM(D5:D8)</f>
        <v>8092.869999999999</v>
      </c>
      <c r="E9" s="35">
        <f t="shared" ca="1" si="0"/>
        <v>11638.02</v>
      </c>
    </row>
    <row r="10" spans="2:14" x14ac:dyDescent="0.25">
      <c r="B10" s="36"/>
      <c r="C10" s="37"/>
      <c r="D10" s="37"/>
      <c r="E10" s="37"/>
      <c r="F10" s="37"/>
      <c r="G10" s="37"/>
      <c r="H10" s="37"/>
      <c r="I10" s="37"/>
    </row>
    <row r="11" spans="2:14" x14ac:dyDescent="0.25">
      <c r="B11" s="36"/>
      <c r="C11" s="37"/>
      <c r="D11" s="37"/>
      <c r="E11" s="37"/>
      <c r="F11" s="37"/>
      <c r="G11" s="37"/>
      <c r="H11" s="37"/>
      <c r="I11" s="37"/>
    </row>
    <row r="13" spans="2:14" x14ac:dyDescent="0.25">
      <c r="B13" s="172" t="s">
        <v>46</v>
      </c>
      <c r="C13" s="173" t="s">
        <v>40</v>
      </c>
      <c r="D13" s="174" t="s">
        <v>42</v>
      </c>
      <c r="E13" s="174" t="s">
        <v>43</v>
      </c>
      <c r="F13" s="174" t="s">
        <v>44</v>
      </c>
      <c r="G13" s="175" t="s">
        <v>1</v>
      </c>
    </row>
    <row r="14" spans="2:14" x14ac:dyDescent="0.25">
      <c r="B14" s="38" t="s">
        <v>2</v>
      </c>
      <c r="C14" s="39">
        <f t="shared" ref="C14:C15" ca="1" si="1">SUM(C41:E41)</f>
        <v>1782.6399999999999</v>
      </c>
      <c r="D14" s="40">
        <f t="shared" ref="D14:D15" ca="1" si="2">SUM(F41:H41)</f>
        <v>5499.3799999999992</v>
      </c>
      <c r="E14" s="40">
        <f ca="1">SUM(I42:K42)</f>
        <v>2093.6099999999997</v>
      </c>
      <c r="F14" s="40">
        <f t="shared" ref="F14:F15" ca="1" si="3">SUM(L41:N41)</f>
        <v>10355.26</v>
      </c>
      <c r="G14" s="41">
        <f t="shared" ref="G14:G16" ca="1" si="4">SUM(C14:F14)</f>
        <v>19730.89</v>
      </c>
    </row>
    <row r="15" spans="2:14" x14ac:dyDescent="0.25">
      <c r="B15" s="38" t="s">
        <v>89</v>
      </c>
      <c r="C15" s="39">
        <f t="shared" ca="1" si="1"/>
        <v>1630.73</v>
      </c>
      <c r="D15" s="40">
        <f t="shared" ca="1" si="2"/>
        <v>2133.7200000000003</v>
      </c>
      <c r="E15" s="40">
        <f ca="1">SUM(I43:K43)</f>
        <v>6925.05</v>
      </c>
      <c r="F15" s="40">
        <f t="shared" ca="1" si="3"/>
        <v>2234.81</v>
      </c>
      <c r="G15" s="41">
        <f t="shared" ca="1" si="4"/>
        <v>12924.31</v>
      </c>
    </row>
    <row r="16" spans="2:14" x14ac:dyDescent="0.25">
      <c r="B16" s="42" t="s">
        <v>69</v>
      </c>
      <c r="C16" s="43">
        <f ca="1">SUM(C43:E43)</f>
        <v>151.90999999999985</v>
      </c>
      <c r="D16" s="44">
        <f ca="1">SUM(F43:H43)</f>
        <v>3365.66</v>
      </c>
      <c r="E16" s="44">
        <f>SUM(I44:K44)</f>
        <v>0</v>
      </c>
      <c r="F16" s="44">
        <f ca="1">SUM(L43:N43)</f>
        <v>8120.4500000000007</v>
      </c>
      <c r="G16" s="45">
        <f t="shared" ca="1" si="4"/>
        <v>11638.02</v>
      </c>
    </row>
    <row r="17" spans="2:10" x14ac:dyDescent="0.25">
      <c r="B17" s="46"/>
      <c r="C17" s="47"/>
      <c r="D17" s="47"/>
      <c r="E17" s="47"/>
      <c r="F17" s="47"/>
      <c r="G17" s="48"/>
    </row>
    <row r="18" spans="2:10" x14ac:dyDescent="0.25">
      <c r="B18" s="46"/>
      <c r="C18" s="47"/>
      <c r="D18" s="47"/>
      <c r="E18" s="47"/>
      <c r="F18" s="47"/>
      <c r="G18" s="48"/>
    </row>
    <row r="19" spans="2:10" x14ac:dyDescent="0.25">
      <c r="B19" s="46"/>
      <c r="C19" s="47"/>
      <c r="D19" s="47"/>
      <c r="E19" s="47"/>
      <c r="F19" s="47"/>
      <c r="G19" s="48"/>
    </row>
    <row r="20" spans="2:10" x14ac:dyDescent="0.25">
      <c r="B20" s="49" t="s">
        <v>55</v>
      </c>
      <c r="C20" s="50" t="s">
        <v>62</v>
      </c>
      <c r="D20" s="50" t="s">
        <v>61</v>
      </c>
      <c r="E20" s="50" t="s">
        <v>60</v>
      </c>
      <c r="F20" s="51" t="s">
        <v>56</v>
      </c>
      <c r="G20" s="50" t="s">
        <v>36</v>
      </c>
      <c r="H20" s="50" t="s">
        <v>33</v>
      </c>
      <c r="I20" s="50" t="s">
        <v>52</v>
      </c>
      <c r="J20" s="51" t="s">
        <v>48</v>
      </c>
    </row>
    <row r="21" spans="2:10" x14ac:dyDescent="0.25">
      <c r="B21" s="52" t="s">
        <v>40</v>
      </c>
      <c r="C21" s="37">
        <f ca="1">SUM(C59:E59)</f>
        <v>0</v>
      </c>
      <c r="D21" s="37">
        <f ca="1">SUM(C60:E60)</f>
        <v>151.90999999999985</v>
      </c>
      <c r="E21" s="37">
        <f ca="1">SUM(C61:E61)</f>
        <v>0</v>
      </c>
      <c r="F21" s="53">
        <f ca="1">D21-E21</f>
        <v>151.90999999999985</v>
      </c>
      <c r="G21" s="37">
        <f ca="1">E63</f>
        <v>1027.0899999999999</v>
      </c>
      <c r="H21" s="37">
        <f ca="1">E64</f>
        <v>309.87999999999988</v>
      </c>
      <c r="I21" s="37">
        <f ca="1">E65</f>
        <v>0</v>
      </c>
      <c r="J21" s="54">
        <f ca="1">H21-I21</f>
        <v>309.87999999999988</v>
      </c>
    </row>
    <row r="22" spans="2:10" x14ac:dyDescent="0.25">
      <c r="B22" s="52" t="s">
        <v>42</v>
      </c>
      <c r="C22" s="37">
        <f ca="1">SUM(F59:H59)</f>
        <v>0</v>
      </c>
      <c r="D22" s="37">
        <f ca="1">SUM(F60:H60)</f>
        <v>3365.66</v>
      </c>
      <c r="E22" s="37">
        <f ca="1">SUM(G61:I61)</f>
        <v>0</v>
      </c>
      <c r="F22" s="53">
        <f ca="1">D22-E22</f>
        <v>3365.66</v>
      </c>
      <c r="G22" s="37">
        <f ca="1">H63</f>
        <v>4090.4799999999996</v>
      </c>
      <c r="H22" s="37">
        <f ca="1">H64</f>
        <v>3675.5399999999991</v>
      </c>
      <c r="I22" s="37">
        <f ca="1">H65</f>
        <v>0</v>
      </c>
      <c r="J22" s="55">
        <f ca="1">H22-I22</f>
        <v>3675.5399999999991</v>
      </c>
    </row>
    <row r="23" spans="2:10" x14ac:dyDescent="0.25">
      <c r="B23" s="52" t="s">
        <v>43</v>
      </c>
      <c r="C23" s="37">
        <f ca="1">SUM(I60:K60)</f>
        <v>7917.1500000000005</v>
      </c>
      <c r="D23" s="37">
        <f ca="1">SUM(J61:L61)</f>
        <v>0</v>
      </c>
      <c r="E23" s="37">
        <f ca="1">SUM(I62:K62)</f>
        <v>6925.05</v>
      </c>
      <c r="F23" s="53">
        <f ca="1">D23-E23</f>
        <v>-6925.05</v>
      </c>
      <c r="G23" s="37">
        <f ca="1">K63</f>
        <v>9532.2199999999975</v>
      </c>
      <c r="H23" s="37">
        <f ca="1">K64</f>
        <v>11592.689999999999</v>
      </c>
      <c r="I23" s="37">
        <f ca="1">K65</f>
        <v>0</v>
      </c>
      <c r="J23" s="55">
        <f ca="1">H23-I23</f>
        <v>11592.689999999999</v>
      </c>
    </row>
    <row r="24" spans="2:10" x14ac:dyDescent="0.25">
      <c r="B24" s="52" t="s">
        <v>44</v>
      </c>
      <c r="C24" s="37">
        <f ca="1">SUM(L59:N59)</f>
        <v>1441.18</v>
      </c>
      <c r="D24" s="37">
        <f ca="1">SUM(L60:N60)</f>
        <v>9561.630000000001</v>
      </c>
      <c r="E24" s="37">
        <f ca="1">SUM(L61:N61)</f>
        <v>0</v>
      </c>
      <c r="F24" s="53">
        <f ca="1">D24-E24</f>
        <v>9561.630000000001</v>
      </c>
      <c r="G24" s="37">
        <f ca="1">N63</f>
        <v>20649.400000000001</v>
      </c>
      <c r="H24" s="37">
        <f ca="1">N64</f>
        <v>21154.320000000003</v>
      </c>
      <c r="I24" s="37">
        <f ca="1">N65</f>
        <v>0</v>
      </c>
      <c r="J24" s="55">
        <f ca="1">H24-I24</f>
        <v>21154.320000000003</v>
      </c>
    </row>
    <row r="25" spans="2:10" x14ac:dyDescent="0.25">
      <c r="B25" s="54" t="s">
        <v>1</v>
      </c>
      <c r="C25" s="54">
        <f ca="1">SUM(C21:C24)</f>
        <v>9358.33</v>
      </c>
      <c r="D25" s="54">
        <f ca="1">SUM(D21:D24)</f>
        <v>13079.2</v>
      </c>
      <c r="E25" s="54">
        <f ca="1">SUM(E21:E24)</f>
        <v>6925.05</v>
      </c>
      <c r="F25" s="54">
        <f ca="1">D25-E25</f>
        <v>6154.1500000000005</v>
      </c>
      <c r="G25" s="56"/>
      <c r="H25" s="56"/>
      <c r="I25" s="56"/>
      <c r="J25" s="57"/>
    </row>
    <row r="26" spans="2:10" x14ac:dyDescent="0.25">
      <c r="B26" s="46"/>
      <c r="C26" s="47"/>
      <c r="D26" s="47"/>
      <c r="E26" s="47"/>
      <c r="F26" s="47"/>
      <c r="G26" s="48"/>
    </row>
    <row r="27" spans="2:10" x14ac:dyDescent="0.25">
      <c r="B27" s="46"/>
      <c r="C27" s="47"/>
      <c r="D27" s="47"/>
      <c r="E27" s="47"/>
      <c r="F27" s="47"/>
      <c r="G27" s="48"/>
    </row>
    <row r="28" spans="2:10" x14ac:dyDescent="0.25">
      <c r="B28" s="58" t="s">
        <v>55</v>
      </c>
      <c r="C28" s="59" t="s">
        <v>40</v>
      </c>
      <c r="D28" s="59" t="s">
        <v>42</v>
      </c>
      <c r="E28" s="59" t="s">
        <v>43</v>
      </c>
      <c r="F28" s="59" t="s">
        <v>44</v>
      </c>
      <c r="G28" s="60" t="s">
        <v>76</v>
      </c>
    </row>
    <row r="29" spans="2:10" x14ac:dyDescent="0.25">
      <c r="B29" s="61" t="s">
        <v>62</v>
      </c>
      <c r="C29" s="62">
        <f ca="1">SUM(C59:E59)</f>
        <v>0</v>
      </c>
      <c r="D29" s="62">
        <f ca="1">SUM(F59:H59)</f>
        <v>0</v>
      </c>
      <c r="E29" s="62">
        <f ca="1">SUM(I60:K60)</f>
        <v>7917.1500000000005</v>
      </c>
      <c r="F29" s="62">
        <f ca="1">SUM(L59:N59)</f>
        <v>1441.18</v>
      </c>
      <c r="G29" s="63">
        <f ca="1">SUM(C29:F29)</f>
        <v>9358.33</v>
      </c>
    </row>
    <row r="30" spans="2:10" x14ac:dyDescent="0.25">
      <c r="B30" s="61" t="s">
        <v>61</v>
      </c>
      <c r="C30" s="62">
        <f ca="1">SUM(C60:E60)</f>
        <v>151.90999999999985</v>
      </c>
      <c r="D30" s="62">
        <f ca="1">SUM(F60:H60)</f>
        <v>3365.66</v>
      </c>
      <c r="E30" s="62">
        <f ca="1">SUM(I61:K61)</f>
        <v>0</v>
      </c>
      <c r="F30" s="62">
        <f ca="1">SUM(L60:N60)</f>
        <v>9561.630000000001</v>
      </c>
      <c r="G30" s="63">
        <f ca="1">SUM(C30:F30)</f>
        <v>13079.2</v>
      </c>
    </row>
    <row r="31" spans="2:10" x14ac:dyDescent="0.25">
      <c r="B31" s="61" t="s">
        <v>60</v>
      </c>
      <c r="C31" s="62">
        <f ca="1">SUM(C61:E61)</f>
        <v>0</v>
      </c>
      <c r="D31" s="62">
        <f ca="1">SUM(F61:H61)</f>
        <v>0</v>
      </c>
      <c r="E31" s="62">
        <f ca="1">SUM(I62:K62)</f>
        <v>6925.05</v>
      </c>
      <c r="F31" s="62">
        <f ca="1">SUM(L61:N61)</f>
        <v>0</v>
      </c>
      <c r="G31" s="63">
        <f ca="1">SUM(C31:F31)</f>
        <v>6925.05</v>
      </c>
    </row>
    <row r="32" spans="2:10" x14ac:dyDescent="0.25">
      <c r="B32" s="64" t="s">
        <v>56</v>
      </c>
      <c r="C32" s="65">
        <f ca="1">C30-C31</f>
        <v>151.90999999999985</v>
      </c>
      <c r="D32" s="65">
        <f ca="1">D30-D31</f>
        <v>3365.66</v>
      </c>
      <c r="E32" s="65">
        <f ca="1">E30-E31</f>
        <v>-6925.05</v>
      </c>
      <c r="F32" s="65">
        <f ca="1">F30-F31</f>
        <v>9561.630000000001</v>
      </c>
      <c r="G32" s="63">
        <f ca="1">G30-G31</f>
        <v>6154.1500000000005</v>
      </c>
    </row>
    <row r="33" spans="2:15" x14ac:dyDescent="0.25">
      <c r="B33" s="61" t="s">
        <v>36</v>
      </c>
      <c r="C33" s="62">
        <f ca="1">E63</f>
        <v>1027.0899999999999</v>
      </c>
      <c r="D33" s="62">
        <f ca="1">H63</f>
        <v>4090.4799999999996</v>
      </c>
      <c r="E33" s="62">
        <f ca="1">K63</f>
        <v>9532.2199999999975</v>
      </c>
      <c r="F33" s="62">
        <f ca="1">N63</f>
        <v>20649.400000000001</v>
      </c>
      <c r="G33" s="66"/>
    </row>
    <row r="34" spans="2:15" x14ac:dyDescent="0.25">
      <c r="B34" s="61" t="s">
        <v>33</v>
      </c>
      <c r="C34" s="62">
        <f ca="1">E64</f>
        <v>309.87999999999988</v>
      </c>
      <c r="D34" s="62">
        <f ca="1">H64</f>
        <v>3675.5399999999991</v>
      </c>
      <c r="E34" s="62">
        <f ca="1">K64</f>
        <v>11592.689999999999</v>
      </c>
      <c r="F34" s="62">
        <f ca="1">N64</f>
        <v>21154.320000000003</v>
      </c>
      <c r="G34" s="66"/>
    </row>
    <row r="35" spans="2:15" x14ac:dyDescent="0.25">
      <c r="B35" s="61" t="s">
        <v>52</v>
      </c>
      <c r="C35" s="62">
        <f ca="1">E65</f>
        <v>0</v>
      </c>
      <c r="D35" s="62">
        <f ca="1">H65</f>
        <v>0</v>
      </c>
      <c r="E35" s="62">
        <f ca="1">K65</f>
        <v>0</v>
      </c>
      <c r="F35" s="62">
        <f ca="1">N65</f>
        <v>0</v>
      </c>
      <c r="G35" s="66"/>
    </row>
    <row r="36" spans="2:15" x14ac:dyDescent="0.25">
      <c r="B36" s="67" t="s">
        <v>75</v>
      </c>
      <c r="C36" s="68">
        <f ca="1">C34-C35</f>
        <v>309.87999999999988</v>
      </c>
      <c r="D36" s="68">
        <f ca="1">D34-D35</f>
        <v>3675.5399999999991</v>
      </c>
      <c r="E36" s="68">
        <f ca="1">E34-E35</f>
        <v>11592.689999999999</v>
      </c>
      <c r="F36" s="68">
        <f ca="1">F34-F35</f>
        <v>21154.320000000003</v>
      </c>
      <c r="G36" s="66"/>
    </row>
    <row r="37" spans="2:15" x14ac:dyDescent="0.25">
      <c r="B37" s="46"/>
      <c r="C37" s="47"/>
      <c r="D37" s="47"/>
      <c r="E37" s="47"/>
      <c r="F37" s="47"/>
      <c r="G37" s="48"/>
    </row>
    <row r="38" spans="2:15" x14ac:dyDescent="0.25">
      <c r="B38" s="46"/>
      <c r="C38" s="47"/>
      <c r="D38" s="47"/>
      <c r="E38" s="47"/>
      <c r="F38" s="47"/>
      <c r="G38" s="48"/>
    </row>
    <row r="39" spans="2:15" ht="15.75" thickBot="1" x14ac:dyDescent="0.3">
      <c r="B39" s="69"/>
      <c r="C39" s="275"/>
      <c r="D39" s="275"/>
      <c r="E39" s="275"/>
      <c r="F39" s="276"/>
      <c r="G39" s="276"/>
      <c r="H39" s="276"/>
      <c r="I39" s="70"/>
      <c r="J39" s="70"/>
    </row>
    <row r="40" spans="2:15" x14ac:dyDescent="0.25">
      <c r="B40" s="161" t="s">
        <v>45</v>
      </c>
      <c r="C40" s="171" t="s">
        <v>3</v>
      </c>
      <c r="D40" s="171" t="s">
        <v>4</v>
      </c>
      <c r="E40" s="171" t="s">
        <v>5</v>
      </c>
      <c r="F40" s="171" t="s">
        <v>6</v>
      </c>
      <c r="G40" s="171" t="s">
        <v>7</v>
      </c>
      <c r="H40" s="171" t="s">
        <v>8</v>
      </c>
      <c r="I40" s="171" t="s">
        <v>9</v>
      </c>
      <c r="J40" s="171" t="s">
        <v>10</v>
      </c>
      <c r="K40" s="171" t="s">
        <v>11</v>
      </c>
      <c r="L40" s="171" t="s">
        <v>12</v>
      </c>
      <c r="M40" s="171" t="s">
        <v>13</v>
      </c>
      <c r="N40" s="171" t="s">
        <v>14</v>
      </c>
      <c r="O40" s="167" t="s">
        <v>1</v>
      </c>
    </row>
    <row r="41" spans="2:15" ht="14.25" customHeight="1" x14ac:dyDescent="0.25">
      <c r="B41" s="38" t="s">
        <v>2</v>
      </c>
      <c r="C41" s="4" cm="1">
        <f t="array" aca="1" ref="C41" ca="1">INDIRECT("'" &amp; $C$40 &amp; "'!H24")</f>
        <v>628.41999999999996</v>
      </c>
      <c r="D41" s="4" cm="1">
        <f t="array" aca="1" ref="D41" ca="1">INDIRECT("'" &amp; D$40 &amp; "'!H24")</f>
        <v>1154.22</v>
      </c>
      <c r="E41" s="4" cm="1">
        <f t="array" aca="1" ref="E41" ca="1">INDIRECT("'" &amp; E$40 &amp; "'!H24")</f>
        <v>0</v>
      </c>
      <c r="F41" s="4" cm="1">
        <f t="array" aca="1" ref="F41" ca="1">INDIRECT("'" &amp; F$40 &amp; "'!H24")</f>
        <v>2194.19</v>
      </c>
      <c r="G41" s="4" cm="1">
        <f t="array" aca="1" ref="G41" ca="1">INDIRECT("'" &amp; G$40 &amp; "'!H24")</f>
        <v>2611.62</v>
      </c>
      <c r="H41" s="4" cm="1">
        <f t="array" aca="1" ref="H41" ca="1">INDIRECT("'" &amp; H$40 &amp; "'!H24")</f>
        <v>693.57</v>
      </c>
      <c r="I41" s="4" cm="1">
        <f t="array" aca="1" ref="I41" ca="1">INDIRECT("'" &amp; I$40 &amp; "'!H24")</f>
        <v>853.81</v>
      </c>
      <c r="J41" s="4" cm="1">
        <f t="array" aca="1" ref="J41" ca="1">INDIRECT("'" &amp; J$40 &amp; "'!H24")</f>
        <v>5597.31</v>
      </c>
      <c r="K41" s="4" cm="1">
        <f t="array" aca="1" ref="K41" ca="1">INDIRECT("'" &amp; K$40 &amp; "'!H24")</f>
        <v>2567.54</v>
      </c>
      <c r="L41" s="4" cm="1">
        <f t="array" aca="1" ref="L41" ca="1">INDIRECT("'" &amp; L$40 &amp; "'!H24")</f>
        <v>2200.61</v>
      </c>
      <c r="M41" s="4" cm="1">
        <f t="array" aca="1" ref="M41" ca="1">INDIRECT("'" &amp; M$40 &amp; "'!H24")</f>
        <v>6803.43</v>
      </c>
      <c r="N41" s="4" cm="1">
        <f t="array" aca="1" ref="N41" ca="1">INDIRECT("'" &amp; N$40 &amp; "'!H24")</f>
        <v>1351.22</v>
      </c>
      <c r="O41" s="168">
        <f ca="1">SUM(C41:N41)</f>
        <v>26655.940000000002</v>
      </c>
    </row>
    <row r="42" spans="2:15" x14ac:dyDescent="0.25">
      <c r="B42" s="38" t="s">
        <v>89</v>
      </c>
      <c r="C42" s="4" cm="1">
        <f t="array" aca="1" ref="C42" ca="1">INDIRECT("'" &amp; $C$40 &amp; "'!H25")</f>
        <v>428.31</v>
      </c>
      <c r="D42" s="4" cm="1">
        <f t="array" aca="1" ref="D42" ca="1">INDIRECT("'" &amp; D$40 &amp; "'!H25")</f>
        <v>485.21000000000004</v>
      </c>
      <c r="E42" s="4" cm="1">
        <f t="array" aca="1" ref="E42" ca="1">INDIRECT("'" &amp; E$40 &amp; "'!H25")</f>
        <v>717.21</v>
      </c>
      <c r="F42" s="4" cm="1">
        <f t="array" aca="1" ref="F42" ca="1">INDIRECT("'" &amp; F$40 &amp; "'!H25")</f>
        <v>455.51</v>
      </c>
      <c r="G42" s="4" cm="1">
        <f t="array" aca="1" ref="G42" ca="1">INDIRECT("'" &amp; G$40 &amp; "'!H25")</f>
        <v>569.70000000000005</v>
      </c>
      <c r="H42" s="4" cm="1">
        <f t="array" aca="1" ref="H42" ca="1">INDIRECT("'" &amp; H$40 &amp; "'!H25")</f>
        <v>1108.51</v>
      </c>
      <c r="I42" s="4" cm="1">
        <f t="array" aca="1" ref="I42" ca="1">INDIRECT("'" &amp; I$40 &amp; "'!H25")</f>
        <v>1108</v>
      </c>
      <c r="J42" s="4" cm="1">
        <f t="array" aca="1" ref="J42" ca="1">INDIRECT("'" &amp; J$40 &amp; "'!H25")</f>
        <v>478.54</v>
      </c>
      <c r="K42" s="4" cm="1">
        <f t="array" aca="1" ref="K42" ca="1">INDIRECT("'" &amp; K$40 &amp; "'!H25")</f>
        <v>507.06999999999994</v>
      </c>
      <c r="L42" s="4" cm="1">
        <f t="array" aca="1" ref="L42" ca="1">INDIRECT("'" &amp; L$40 &amp; "'!H25")</f>
        <v>806.26</v>
      </c>
      <c r="M42" s="4" cm="1">
        <f t="array" aca="1" ref="M42" ca="1">INDIRECT("'" &amp; M$40 &amp; "'!H25")</f>
        <v>582.25</v>
      </c>
      <c r="N42" s="4" cm="1">
        <f t="array" aca="1" ref="N42" ca="1">INDIRECT("'" &amp; N$40 &amp; "'!H25")</f>
        <v>846.3</v>
      </c>
      <c r="O42" s="168">
        <f ca="1">SUM(C42:N42)</f>
        <v>8092.87</v>
      </c>
    </row>
    <row r="43" spans="2:15" x14ac:dyDescent="0.25">
      <c r="B43" s="162" t="s">
        <v>59</v>
      </c>
      <c r="C43" s="163">
        <f t="shared" ref="C43:N43" ca="1" si="5">C41-SUM(C42:C42)</f>
        <v>200.10999999999996</v>
      </c>
      <c r="D43" s="163">
        <f t="shared" ca="1" si="5"/>
        <v>669.01</v>
      </c>
      <c r="E43" s="163">
        <f t="shared" ca="1" si="5"/>
        <v>-717.21</v>
      </c>
      <c r="F43" s="163">
        <f t="shared" ca="1" si="5"/>
        <v>1738.68</v>
      </c>
      <c r="G43" s="163">
        <f t="shared" ca="1" si="5"/>
        <v>2041.9199999999998</v>
      </c>
      <c r="H43" s="163">
        <f t="shared" ca="1" si="5"/>
        <v>-414.93999999999994</v>
      </c>
      <c r="I43" s="163">
        <f t="shared" ca="1" si="5"/>
        <v>-254.19000000000005</v>
      </c>
      <c r="J43" s="163">
        <f t="shared" ca="1" si="5"/>
        <v>5118.7700000000004</v>
      </c>
      <c r="K43" s="163">
        <f t="shared" ca="1" si="5"/>
        <v>2060.4700000000003</v>
      </c>
      <c r="L43" s="163">
        <f t="shared" ca="1" si="5"/>
        <v>1394.3500000000001</v>
      </c>
      <c r="M43" s="163">
        <f t="shared" ca="1" si="5"/>
        <v>6221.18</v>
      </c>
      <c r="N43" s="163">
        <f t="shared" ca="1" si="5"/>
        <v>504.92000000000007</v>
      </c>
      <c r="O43" s="168">
        <f ca="1">SUM(C43:N43)</f>
        <v>18563.07</v>
      </c>
    </row>
    <row r="44" spans="2:15" x14ac:dyDescent="0.25">
      <c r="O44" s="48"/>
    </row>
    <row r="45" spans="2:15" x14ac:dyDescent="0.25">
      <c r="O45" s="48"/>
    </row>
    <row r="46" spans="2:15" x14ac:dyDescent="0.25">
      <c r="O46" s="48"/>
    </row>
    <row r="47" spans="2:15" ht="15.75" thickBot="1" x14ac:dyDescent="0.3">
      <c r="O47" s="48"/>
    </row>
    <row r="48" spans="2:15" ht="15.75" thickBot="1" x14ac:dyDescent="0.3">
      <c r="B48" s="71" t="s">
        <v>55</v>
      </c>
      <c r="C48" s="72" t="s">
        <v>40</v>
      </c>
      <c r="D48" s="72" t="s">
        <v>42</v>
      </c>
      <c r="E48" s="72" t="s">
        <v>43</v>
      </c>
      <c r="F48" s="72" t="s">
        <v>44</v>
      </c>
      <c r="G48" s="170" t="s">
        <v>1</v>
      </c>
    </row>
    <row r="49" spans="2:14" x14ac:dyDescent="0.25">
      <c r="B49" s="73" t="s">
        <v>62</v>
      </c>
      <c r="C49" s="48">
        <f ca="1">SUM(C59:E59)</f>
        <v>0</v>
      </c>
      <c r="D49" s="48">
        <f ca="1">SUM(F59:H59)</f>
        <v>0</v>
      </c>
      <c r="E49" s="48">
        <f ca="1">SUM(I60:K60)</f>
        <v>7917.1500000000005</v>
      </c>
      <c r="F49" s="48">
        <f ca="1">SUM(L59:N59)</f>
        <v>1441.18</v>
      </c>
      <c r="G49" s="169">
        <f ca="1">SUM(C49:F49)</f>
        <v>9358.33</v>
      </c>
    </row>
    <row r="50" spans="2:14" x14ac:dyDescent="0.25">
      <c r="B50" s="73" t="s">
        <v>61</v>
      </c>
      <c r="C50" s="48">
        <f ca="1">SUM(C60:E60)</f>
        <v>151.90999999999985</v>
      </c>
      <c r="D50" s="48">
        <f ca="1">SUM(F60:H60)</f>
        <v>3365.66</v>
      </c>
      <c r="E50" s="48">
        <f ca="1">SUM(J61:L61)</f>
        <v>0</v>
      </c>
      <c r="F50" s="48">
        <f ca="1">SUM(L60:N60)</f>
        <v>9561.630000000001</v>
      </c>
      <c r="G50" s="169">
        <f ca="1">SUM(C50:F50)</f>
        <v>13079.2</v>
      </c>
    </row>
    <row r="51" spans="2:14" x14ac:dyDescent="0.25">
      <c r="B51" s="73" t="s">
        <v>60</v>
      </c>
      <c r="C51" s="48">
        <f ca="1">SUM(C61:E61)</f>
        <v>0</v>
      </c>
      <c r="D51" s="48">
        <f ca="1">SUM(F61:H61)</f>
        <v>0</v>
      </c>
      <c r="E51" s="48">
        <f ca="1">SUM(I62:K62)</f>
        <v>6925.05</v>
      </c>
      <c r="F51" s="48">
        <f ca="1">SUM(L61:N61)</f>
        <v>0</v>
      </c>
      <c r="G51" s="169">
        <f ca="1">SUM(C51:F51)</f>
        <v>6925.05</v>
      </c>
    </row>
    <row r="52" spans="2:14" x14ac:dyDescent="0.25">
      <c r="B52" s="74" t="s">
        <v>56</v>
      </c>
      <c r="C52" s="75">
        <f ca="1">C50-C51</f>
        <v>151.90999999999985</v>
      </c>
      <c r="D52" s="75">
        <f ca="1">D50-D51</f>
        <v>3365.66</v>
      </c>
      <c r="E52" s="75">
        <f ca="1">E50-E51</f>
        <v>-6925.05</v>
      </c>
      <c r="F52" s="75">
        <f ca="1">F50-F51</f>
        <v>9561.630000000001</v>
      </c>
      <c r="G52" s="169"/>
    </row>
    <row r="53" spans="2:14" x14ac:dyDescent="0.25">
      <c r="B53" s="73" t="s">
        <v>36</v>
      </c>
      <c r="C53" s="48">
        <f ca="1">E63</f>
        <v>1027.0899999999999</v>
      </c>
      <c r="D53" s="48">
        <f ca="1">H63</f>
        <v>4090.4799999999996</v>
      </c>
      <c r="E53" s="48">
        <f ca="1">K63</f>
        <v>9532.2199999999975</v>
      </c>
      <c r="F53" s="48">
        <f ca="1">N63</f>
        <v>20649.400000000001</v>
      </c>
      <c r="G53" s="169"/>
    </row>
    <row r="54" spans="2:14" x14ac:dyDescent="0.25">
      <c r="B54" s="73" t="s">
        <v>33</v>
      </c>
      <c r="C54" s="48">
        <f ca="1">E64</f>
        <v>309.87999999999988</v>
      </c>
      <c r="D54" s="48">
        <f ca="1">H64</f>
        <v>3675.5399999999991</v>
      </c>
      <c r="E54" s="48">
        <f ca="1">K64</f>
        <v>11592.689999999999</v>
      </c>
      <c r="F54" s="48">
        <f ca="1">N64</f>
        <v>21154.320000000003</v>
      </c>
      <c r="G54" s="169"/>
    </row>
    <row r="55" spans="2:14" x14ac:dyDescent="0.25">
      <c r="B55" s="73" t="s">
        <v>52</v>
      </c>
      <c r="C55" s="48">
        <f ca="1">E65</f>
        <v>0</v>
      </c>
      <c r="D55" s="48">
        <f ca="1">H65</f>
        <v>0</v>
      </c>
      <c r="E55" s="48">
        <f ca="1">K65</f>
        <v>0</v>
      </c>
      <c r="F55" s="48">
        <f ca="1">N65</f>
        <v>0</v>
      </c>
      <c r="G55" s="169"/>
    </row>
    <row r="56" spans="2:14" ht="15.75" thickBot="1" x14ac:dyDescent="0.3">
      <c r="B56" s="76" t="s">
        <v>48</v>
      </c>
      <c r="C56" s="77">
        <f ca="1">C54-C55</f>
        <v>309.87999999999988</v>
      </c>
      <c r="D56" s="77">
        <f ca="1">D54-D55</f>
        <v>3675.5399999999991</v>
      </c>
      <c r="E56" s="77">
        <f ca="1">E54-E55</f>
        <v>11592.689999999999</v>
      </c>
      <c r="F56" s="77">
        <f ca="1">F54-F55</f>
        <v>21154.320000000003</v>
      </c>
      <c r="G56" s="169"/>
    </row>
    <row r="57" spans="2:14" ht="15.75" thickBot="1" x14ac:dyDescent="0.3">
      <c r="C57" s="274"/>
      <c r="D57" s="274"/>
      <c r="E57" s="274"/>
      <c r="F57" s="274"/>
      <c r="G57" s="274"/>
      <c r="H57" s="274"/>
      <c r="I57" s="78"/>
      <c r="J57" s="78"/>
    </row>
    <row r="58" spans="2:14" ht="15.75" thickBot="1" x14ac:dyDescent="0.3">
      <c r="B58" s="79" t="s">
        <v>26</v>
      </c>
      <c r="C58" s="80" t="s">
        <v>3</v>
      </c>
      <c r="D58" s="80" t="s">
        <v>4</v>
      </c>
      <c r="E58" s="80" t="s">
        <v>5</v>
      </c>
      <c r="F58" s="80" t="s">
        <v>6</v>
      </c>
      <c r="G58" s="80" t="s">
        <v>7</v>
      </c>
      <c r="H58" s="80" t="s">
        <v>8</v>
      </c>
      <c r="I58" s="80" t="s">
        <v>9</v>
      </c>
      <c r="J58" s="80" t="s">
        <v>10</v>
      </c>
      <c r="K58" s="80" t="s">
        <v>11</v>
      </c>
      <c r="L58" s="80" t="s">
        <v>12</v>
      </c>
      <c r="M58" s="80" t="s">
        <v>13</v>
      </c>
      <c r="N58" s="81" t="s">
        <v>14</v>
      </c>
    </row>
    <row r="59" spans="2:14" x14ac:dyDescent="0.25">
      <c r="B59" s="82" t="s">
        <v>34</v>
      </c>
      <c r="C59" s="40" cm="1">
        <f t="array" aca="1" ref="C59" ca="1">INDIRECT("'" &amp; C$40 &amp; "'!H" &amp; 10)</f>
        <v>0</v>
      </c>
      <c r="D59" s="40" cm="1">
        <f t="array" aca="1" ref="D59" ca="1">INDIRECT("'" &amp; D$40 &amp; "'!H" &amp; 10)</f>
        <v>0</v>
      </c>
      <c r="E59" s="40" cm="1">
        <f t="array" aca="1" ref="E59" ca="1">INDIRECT("'" &amp; E$40 &amp; "'!H" &amp; 10)</f>
        <v>0</v>
      </c>
      <c r="F59" s="40" cm="1">
        <f t="array" aca="1" ref="F59" ca="1">INDIRECT("'" &amp; F$40 &amp; "'!H" &amp; 10)</f>
        <v>0</v>
      </c>
      <c r="G59" s="40" cm="1">
        <f t="array" aca="1" ref="G59" ca="1">INDIRECT("'" &amp; G$40 &amp; "'!H" &amp; 10)</f>
        <v>0</v>
      </c>
      <c r="H59" s="40" cm="1">
        <f t="array" aca="1" ref="H59" ca="1">INDIRECT("'" &amp; H$40 &amp; "'!H" &amp; 10)</f>
        <v>0</v>
      </c>
      <c r="I59" s="40" cm="1">
        <f t="array" aca="1" ref="I59" ca="1">INDIRECT("'" &amp; I$40 &amp; "'!H" &amp; 10)</f>
        <v>0</v>
      </c>
      <c r="J59" s="40" cm="1">
        <f t="array" aca="1" ref="J59" ca="1">INDIRECT("'" &amp; J$40 &amp; "'!H" &amp; 10)</f>
        <v>992.1</v>
      </c>
      <c r="K59" s="40" cm="1">
        <f t="array" aca="1" ref="K59" ca="1">INDIRECT("'" &amp; K$40 &amp; "'!H" &amp; 10)</f>
        <v>0</v>
      </c>
      <c r="L59" s="40" cm="1">
        <f t="array" aca="1" ref="L59" ca="1">INDIRECT("'" &amp; L$40 &amp; "'!H" &amp; 10)</f>
        <v>0</v>
      </c>
      <c r="M59" s="40" cm="1">
        <f t="array" aca="1" ref="M59" ca="1">INDIRECT("'" &amp; M$40 &amp; "'!H" &amp; 10)</f>
        <v>1441.18</v>
      </c>
      <c r="N59" s="85" cm="1">
        <f t="array" aca="1" ref="N59" ca="1">INDIRECT("'" &amp; N$40 &amp; "'!H" &amp; 10)</f>
        <v>0</v>
      </c>
    </row>
    <row r="60" spans="2:14" x14ac:dyDescent="0.25">
      <c r="B60" s="82" t="s">
        <v>51</v>
      </c>
      <c r="C60" s="40" cm="1">
        <f t="array" aca="1" ref="C60" ca="1">INDIRECT("'" &amp; C$40 &amp; "'!H" &amp; 14)</f>
        <v>200.10999999999996</v>
      </c>
      <c r="D60" s="40" cm="1">
        <f t="array" aca="1" ref="D60" ca="1">INDIRECT("'" &amp; D$40 &amp; "'!H" &amp; 14)</f>
        <v>669.01</v>
      </c>
      <c r="E60" s="40" cm="1">
        <f t="array" aca="1" ref="E60" ca="1">INDIRECT("'" &amp; E$40 &amp; "'!H" &amp; 14)</f>
        <v>-717.21</v>
      </c>
      <c r="F60" s="40" cm="1">
        <f t="array" aca="1" ref="F60" ca="1">INDIRECT("'" &amp; F$40 &amp; "'!H" &amp; 14)</f>
        <v>1738.68</v>
      </c>
      <c r="G60" s="40" cm="1">
        <f t="array" aca="1" ref="G60" ca="1">INDIRECT("'" &amp; G$40 &amp; "'!H" &amp; 14)</f>
        <v>2041.9199999999998</v>
      </c>
      <c r="H60" s="40" cm="1">
        <f t="array" aca="1" ref="H60" ca="1">INDIRECT("'" &amp; H$40 &amp; "'!H" &amp; 14)</f>
        <v>-414.93999999999994</v>
      </c>
      <c r="I60" s="40" cm="1">
        <f t="array" aca="1" ref="I60" ca="1">INDIRECT("'" &amp; I$40 &amp; "'!H" &amp; 14)</f>
        <v>-254.19000000000005</v>
      </c>
      <c r="J60" s="40" cm="1">
        <f t="array" aca="1" ref="J60" ca="1">INDIRECT("'" &amp; J$40 &amp; "'!H" &amp; 14)</f>
        <v>6110.8700000000008</v>
      </c>
      <c r="K60" s="40" cm="1">
        <f t="array" aca="1" ref="K60" ca="1">INDIRECT("'" &amp; K$40 &amp; "'!H" &amp; 14)</f>
        <v>2060.4700000000003</v>
      </c>
      <c r="L60" s="40" cm="1">
        <f t="array" aca="1" ref="L60" ca="1">INDIRECT("'" &amp; L$40 &amp; "'!H" &amp; 14)</f>
        <v>1394.3500000000001</v>
      </c>
      <c r="M60" s="40" cm="1">
        <f t="array" aca="1" ref="M60" ca="1">INDIRECT("'" &amp; M$40 &amp; "'!H" &amp; 14)</f>
        <v>7662.3600000000006</v>
      </c>
      <c r="N60" s="85" cm="1">
        <f t="array" aca="1" ref="N60" ca="1">INDIRECT("'" &amp; N$40 &amp; "'!H" &amp; 14)</f>
        <v>504.92000000000007</v>
      </c>
    </row>
    <row r="61" spans="2:14" x14ac:dyDescent="0.25">
      <c r="B61" s="82" t="s">
        <v>39</v>
      </c>
      <c r="C61" s="40" cm="1">
        <f t="array" aca="1" ref="C61" ca="1">INDIRECT("'" &amp; C$58 &amp; "'!N" &amp; 10)</f>
        <v>0</v>
      </c>
      <c r="D61" s="40" cm="1">
        <f t="array" aca="1" ref="D61" ca="1">INDIRECT("'" &amp; D$58 &amp; "'!N" &amp; 10)</f>
        <v>0</v>
      </c>
      <c r="E61" s="40" cm="1">
        <f t="array" aca="1" ref="E61" ca="1">INDIRECT("'" &amp; E$58 &amp; "'!N" &amp; 10)</f>
        <v>0</v>
      </c>
      <c r="F61" s="40" cm="1">
        <f t="array" aca="1" ref="F61" ca="1">INDIRECT("'" &amp; F$58 &amp; "'!N" &amp; 10)</f>
        <v>0</v>
      </c>
      <c r="G61" s="40" cm="1">
        <f t="array" aca="1" ref="G61" ca="1">INDIRECT("'" &amp; G$58 &amp; "'!N" &amp; 10)</f>
        <v>0</v>
      </c>
      <c r="H61" s="40" cm="1">
        <f t="array" aca="1" ref="H61" ca="1">INDIRECT("'" &amp; H$58 &amp; "'!N" &amp; 10)</f>
        <v>0</v>
      </c>
      <c r="I61" s="40" cm="1">
        <f t="array" aca="1" ref="I61" ca="1">INDIRECT("'" &amp; I$58 &amp; "'!N" &amp; 10)</f>
        <v>0</v>
      </c>
      <c r="J61" s="40" cm="1">
        <f t="array" aca="1" ref="J61" ca="1">INDIRECT("'" &amp; J$58 &amp; "'!N" &amp; 10)</f>
        <v>0</v>
      </c>
      <c r="K61" s="40" cm="1">
        <f t="array" aca="1" ref="K61" ca="1">INDIRECT("'" &amp; K$58 &amp; "'!N" &amp; 10)</f>
        <v>0</v>
      </c>
      <c r="L61" s="40" cm="1">
        <f t="array" aca="1" ref="L61" ca="1">INDIRECT("'" &amp; L$58 &amp; "'!N" &amp; 10)</f>
        <v>0</v>
      </c>
      <c r="M61" s="40" cm="1">
        <f t="array" aca="1" ref="M61" ca="1">INDIRECT("'" &amp; M$58 &amp; "'!N" &amp; 10)</f>
        <v>0</v>
      </c>
      <c r="N61" s="85" cm="1">
        <f t="array" aca="1" ref="N61" ca="1">INDIRECT("'" &amp; N$58 &amp; "'!N" &amp; 10)</f>
        <v>0</v>
      </c>
    </row>
    <row r="62" spans="2:14" x14ac:dyDescent="0.25">
      <c r="B62" s="83" t="s">
        <v>58</v>
      </c>
      <c r="C62" s="86">
        <f ca="1">C60-C59</f>
        <v>200.10999999999996</v>
      </c>
      <c r="D62" s="86">
        <f t="shared" ref="D62:N62" ca="1" si="6">D60-D59</f>
        <v>669.01</v>
      </c>
      <c r="E62" s="86">
        <f t="shared" ca="1" si="6"/>
        <v>-717.21</v>
      </c>
      <c r="F62" s="86">
        <f t="shared" ca="1" si="6"/>
        <v>1738.68</v>
      </c>
      <c r="G62" s="86">
        <f t="shared" ca="1" si="6"/>
        <v>2041.9199999999998</v>
      </c>
      <c r="H62" s="86">
        <f t="shared" ca="1" si="6"/>
        <v>-414.93999999999994</v>
      </c>
      <c r="I62" s="86">
        <f t="shared" ca="1" si="6"/>
        <v>-254.19000000000005</v>
      </c>
      <c r="J62" s="86">
        <f t="shared" ca="1" si="6"/>
        <v>5118.7700000000004</v>
      </c>
      <c r="K62" s="86">
        <f t="shared" ca="1" si="6"/>
        <v>2060.4700000000003</v>
      </c>
      <c r="L62" s="86">
        <f t="shared" ca="1" si="6"/>
        <v>1394.3500000000001</v>
      </c>
      <c r="M62" s="86">
        <f t="shared" ca="1" si="6"/>
        <v>6221.18</v>
      </c>
      <c r="N62" s="87">
        <f t="shared" ca="1" si="6"/>
        <v>504.92000000000007</v>
      </c>
    </row>
    <row r="63" spans="2:14" x14ac:dyDescent="0.25">
      <c r="B63" s="82" t="s">
        <v>36</v>
      </c>
      <c r="C63" s="88" cm="1">
        <f t="array" aca="1" ref="C63" ca="1">INDIRECT("'" &amp; C$40 &amp; "'!B" &amp; 10)</f>
        <v>157.97</v>
      </c>
      <c r="D63" s="88" cm="1">
        <f t="array" aca="1" ref="D63" ca="1">INDIRECT("'" &amp; D$40 &amp; "'!B" &amp; 10)</f>
        <v>358.08</v>
      </c>
      <c r="E63" s="88" cm="1">
        <f t="array" aca="1" ref="E63" ca="1">INDIRECT("'" &amp; E$40 &amp; "'!B" &amp; 10)</f>
        <v>1027.0899999999999</v>
      </c>
      <c r="F63" s="88" cm="1">
        <f t="array" aca="1" ref="F63" ca="1">INDIRECT("'" &amp; F$40 &amp; "'!B" &amp; 10)</f>
        <v>309.87999999999988</v>
      </c>
      <c r="G63" s="88" cm="1">
        <f t="array" aca="1" ref="G63" ca="1">INDIRECT("'" &amp; G$40 &amp; "'!B" &amp; 10)</f>
        <v>2048.5599999999995</v>
      </c>
      <c r="H63" s="88" cm="1">
        <f t="array" aca="1" ref="H63" ca="1">INDIRECT("'" &amp; H$40 &amp; "'!B" &amp; 10)</f>
        <v>4090.4799999999996</v>
      </c>
      <c r="I63" s="88" cm="1">
        <f t="array" aca="1" ref="I63" ca="1">INDIRECT("'" &amp; I$40 &amp; "'!B" &amp; 10)</f>
        <v>3675.5399999999991</v>
      </c>
      <c r="J63" s="88" cm="1">
        <f t="array" aca="1" ref="J63" ca="1">INDIRECT("'" &amp; J$40 &amp; "'!B" &amp; 10)</f>
        <v>4413.4499999999989</v>
      </c>
      <c r="K63" s="88" cm="1">
        <f t="array" aca="1" ref="K63" ca="1">INDIRECT("'" &amp; K$40 &amp; "'!B" &amp; 10)</f>
        <v>9532.2199999999975</v>
      </c>
      <c r="L63" s="88" cm="1">
        <f t="array" aca="1" ref="L63" ca="1">INDIRECT("'" &amp; L$40 &amp; "'!B" &amp; 10)</f>
        <v>11592.689999999999</v>
      </c>
      <c r="M63" s="88" cm="1">
        <f t="array" aca="1" ref="M63" ca="1">INDIRECT("'" &amp; M$40 &amp; "'!B" &amp; 10)</f>
        <v>14428.22</v>
      </c>
      <c r="N63" s="89" cm="1">
        <f t="array" aca="1" ref="N63" ca="1">INDIRECT("'" &amp; N$40 &amp; "'!B" &amp; 10)</f>
        <v>20649.400000000001</v>
      </c>
    </row>
    <row r="64" spans="2:14" x14ac:dyDescent="0.25">
      <c r="B64" s="82" t="s">
        <v>33</v>
      </c>
      <c r="C64" s="88" cm="1">
        <f t="array" aca="1" ref="C64" ca="1">INDIRECT("'" &amp; C$40 &amp; "'!B" &amp; 14)</f>
        <v>358.08</v>
      </c>
      <c r="D64" s="88" cm="1">
        <f t="array" aca="1" ref="D64" ca="1">INDIRECT("'" &amp; D$40 &amp; "'!B" &amp; 14)</f>
        <v>1027.0899999999999</v>
      </c>
      <c r="E64" s="88" cm="1">
        <f t="array" aca="1" ref="E64" ca="1">INDIRECT("'" &amp; E$40 &amp; "'!B" &amp; 14)</f>
        <v>309.87999999999988</v>
      </c>
      <c r="F64" s="88" cm="1">
        <f t="array" aca="1" ref="F64" ca="1">INDIRECT("'" &amp; F$40 &amp; "'!B" &amp; 14)</f>
        <v>2048.5599999999995</v>
      </c>
      <c r="G64" s="88" cm="1">
        <f t="array" aca="1" ref="G64" ca="1">INDIRECT("'" &amp; G$40 &amp; "'!B" &amp; 14)</f>
        <v>4090.4799999999996</v>
      </c>
      <c r="H64" s="88" cm="1">
        <f t="array" aca="1" ref="H64" ca="1">INDIRECT("'" &amp; H$40 &amp; "'!B" &amp; 14)</f>
        <v>3675.5399999999991</v>
      </c>
      <c r="I64" s="88" cm="1">
        <f t="array" aca="1" ref="I64" ca="1">INDIRECT("'" &amp; I$40 &amp; "'!B" &amp; 14)</f>
        <v>3421.3499999999985</v>
      </c>
      <c r="J64" s="88" cm="1">
        <f t="array" aca="1" ref="J64" ca="1">INDIRECT("'" &amp; J$40 &amp; "'!B" &amp; 14)</f>
        <v>9532.2199999999975</v>
      </c>
      <c r="K64" s="88" cm="1">
        <f t="array" aca="1" ref="K64" ca="1">INDIRECT("'" &amp; K$40 &amp; "'!B" &amp; 14)</f>
        <v>11592.689999999999</v>
      </c>
      <c r="L64" s="88" cm="1">
        <f t="array" aca="1" ref="L64" ca="1">INDIRECT("'" &amp; L$40 &amp; "'!B" &amp; 14)</f>
        <v>12987.039999999999</v>
      </c>
      <c r="M64" s="88" cm="1">
        <f t="array" aca="1" ref="M64" ca="1">INDIRECT("'" &amp; M$40 &amp; "'!B" &amp; 14)</f>
        <v>20649.400000000001</v>
      </c>
      <c r="N64" s="89" cm="1">
        <f t="array" aca="1" ref="N64" ca="1">INDIRECT("'" &amp; N$40 &amp; "'!B" &amp; 14)</f>
        <v>21154.320000000003</v>
      </c>
    </row>
    <row r="65" spans="2:14" x14ac:dyDescent="0.25">
      <c r="B65" s="82" t="s">
        <v>52</v>
      </c>
      <c r="C65" s="40" cm="1">
        <f t="array" aca="1" ref="C65" ca="1">INDIRECT("'" &amp; C$58 &amp; "'!N" &amp; 14)</f>
        <v>0</v>
      </c>
      <c r="D65" s="40" cm="1">
        <f t="array" aca="1" ref="D65" ca="1">INDIRECT("'" &amp; D$58 &amp; "'!N" &amp; 14)</f>
        <v>0</v>
      </c>
      <c r="E65" s="40" cm="1">
        <f t="array" aca="1" ref="E65" ca="1">INDIRECT("'" &amp; E$58 &amp; "'!N" &amp; 14)</f>
        <v>0</v>
      </c>
      <c r="F65" s="40" cm="1">
        <f t="array" aca="1" ref="F65" ca="1">INDIRECT("'" &amp; F$58 &amp; "'!N" &amp; 14)</f>
        <v>0</v>
      </c>
      <c r="G65" s="40" cm="1">
        <f t="array" aca="1" ref="G65" ca="1">INDIRECT("'" &amp; G$58 &amp; "'!N" &amp; 14)</f>
        <v>0</v>
      </c>
      <c r="H65" s="40" cm="1">
        <f t="array" aca="1" ref="H65" ca="1">INDIRECT("'" &amp; H$58 &amp; "'!N" &amp; 14)</f>
        <v>0</v>
      </c>
      <c r="I65" s="40" cm="1">
        <f t="array" aca="1" ref="I65" ca="1">INDIRECT("'" &amp; I$58 &amp; "'!N" &amp; 14)</f>
        <v>0</v>
      </c>
      <c r="J65" s="40" cm="1">
        <f t="array" aca="1" ref="J65" ca="1">INDIRECT("'" &amp; J$58 &amp; "'!N" &amp; 14)</f>
        <v>0</v>
      </c>
      <c r="K65" s="40" cm="1">
        <f t="array" aca="1" ref="K65" ca="1">INDIRECT("'" &amp; K$58 &amp; "'!N" &amp; 14)</f>
        <v>0</v>
      </c>
      <c r="L65" s="40" cm="1">
        <f t="array" aca="1" ref="L65" ca="1">INDIRECT("'" &amp; L$58 &amp; "'!N" &amp; 14)</f>
        <v>0</v>
      </c>
      <c r="M65" s="40" cm="1">
        <f t="array" aca="1" ref="M65" ca="1">INDIRECT("'" &amp; M$58 &amp; "'!N" &amp; 14)</f>
        <v>0</v>
      </c>
      <c r="N65" s="85" cm="1">
        <f t="array" aca="1" ref="N65" ca="1">INDIRECT("'" &amp; N$58 &amp; "'!N" &amp; 14)</f>
        <v>0</v>
      </c>
    </row>
    <row r="66" spans="2:14" ht="15.75" thickBot="1" x14ac:dyDescent="0.3">
      <c r="B66" s="84" t="s">
        <v>57</v>
      </c>
      <c r="C66" s="90">
        <f ca="1">C64-C65</f>
        <v>358.08</v>
      </c>
      <c r="D66" s="90">
        <f t="shared" ref="D66:N66" ca="1" si="7">D64-D65</f>
        <v>1027.0899999999999</v>
      </c>
      <c r="E66" s="90">
        <f t="shared" ca="1" si="7"/>
        <v>309.87999999999988</v>
      </c>
      <c r="F66" s="90">
        <f t="shared" ca="1" si="7"/>
        <v>2048.5599999999995</v>
      </c>
      <c r="G66" s="90">
        <f t="shared" ca="1" si="7"/>
        <v>4090.4799999999996</v>
      </c>
      <c r="H66" s="90">
        <f t="shared" ca="1" si="7"/>
        <v>3675.5399999999991</v>
      </c>
      <c r="I66" s="90">
        <f t="shared" ca="1" si="7"/>
        <v>3421.3499999999985</v>
      </c>
      <c r="J66" s="90">
        <f t="shared" ca="1" si="7"/>
        <v>9532.2199999999975</v>
      </c>
      <c r="K66" s="90">
        <f t="shared" ca="1" si="7"/>
        <v>11592.689999999999</v>
      </c>
      <c r="L66" s="90">
        <f t="shared" ca="1" si="7"/>
        <v>12987.039999999999</v>
      </c>
      <c r="M66" s="90">
        <f t="shared" ca="1" si="7"/>
        <v>20649.400000000001</v>
      </c>
      <c r="N66" s="91">
        <f t="shared" ca="1" si="7"/>
        <v>21154.320000000003</v>
      </c>
    </row>
  </sheetData>
  <sheetProtection algorithmName="SHA-512" hashValue="eYXQQ0FXQ2uPTRq/wqfryMKNXUg5ouOPZcpedMDacFkPbsAAhzkMJs8MYczFehi90bE365tlSU/PDNFye/qo0w==" saltValue="zUq/PcgePog6UIB7UIDszA==" spinCount="100000" sheet="1" formatCells="0" formatColumns="0" formatRows="0" selectLockedCells="1" sort="0" autoFilter="0"/>
  <mergeCells count="6">
    <mergeCell ref="C57:E57"/>
    <mergeCell ref="F57:H57"/>
    <mergeCell ref="C39:E39"/>
    <mergeCell ref="F39:H39"/>
    <mergeCell ref="B1:N1"/>
    <mergeCell ref="B2:N2"/>
  </mergeCells>
  <conditionalFormatting sqref="J21:J24 F21:F25 C32:G32 C35:F36 C52:F52 C56:F56 C62:N62 C66:N66">
    <cfRule type="cellIs" dxfId="49" priority="1" operator="greaterThan">
      <formula>0</formula>
    </cfRule>
  </conditionalFormatting>
  <conditionalFormatting sqref="J21:J24 F21:F25 C32:G32 C36:F36">
    <cfRule type="cellIs" dxfId="48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86670306-715D-41D0-A65F-C3CCBCD34F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'TABLEAU TRIMESTRIEL'!C16:C16</xm:f>
              <xm:sqref>C13</xm:sqref>
            </x14:sparkline>
            <x14:sparkline>
              <xm:f>'TABLEAU TRIMESTRIEL'!D16:D16</xm:f>
              <xm:sqref>D13</xm:sqref>
            </x14:sparkline>
            <x14:sparkline>
              <xm:f>'TABLEAU TRIMESTRIEL'!E16:E16</xm:f>
              <xm:sqref>E13</xm:sqref>
            </x14:sparkline>
            <x14:sparkline>
              <xm:f>'TABLEAU TRIMESTRIEL'!F16:F16</xm:f>
              <xm:sqref>F13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3248-3617-4D74-AE6B-8A6755A33F08}">
  <dimension ref="A1:U94"/>
  <sheetViews>
    <sheetView zoomScale="50" zoomScaleNormal="50" zoomScaleSheetLayoutView="50" zoomScalePageLayoutView="80" workbookViewId="0">
      <selection activeCell="N3" sqref="N3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Janvier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628.41999999999996</v>
      </c>
      <c r="C6" s="223"/>
      <c r="E6" s="224"/>
      <c r="F6" s="224"/>
      <c r="H6" s="138">
        <f ca="1">SUM(G25:G29)</f>
        <v>428.31</v>
      </c>
      <c r="I6" s="223"/>
      <c r="J6" s="224"/>
      <c r="K6" s="224"/>
      <c r="L6" s="176">
        <v>157.97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>L6+H10</f>
        <v>157.97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358.08</v>
      </c>
      <c r="C14" s="223"/>
      <c r="E14" s="224"/>
      <c r="F14" s="225"/>
      <c r="H14" s="137">
        <f ca="1">G30</f>
        <v>200.10999999999996</v>
      </c>
      <c r="I14" s="223"/>
      <c r="J14" s="224"/>
      <c r="K14" s="224"/>
      <c r="L14" s="137">
        <f>L10+L6</f>
        <v>167.97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3" t="s">
        <v>20</v>
      </c>
      <c r="F23" s="243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2">
        <f>F92</f>
        <v>0</v>
      </c>
      <c r="F24" s="242"/>
      <c r="G24" s="144">
        <f ca="1">E92</f>
        <v>628.41999999999996</v>
      </c>
      <c r="H24" s="277">
        <f ca="1">G24-E24</f>
        <v>628.41999999999996</v>
      </c>
      <c r="I24" s="278"/>
      <c r="J24" s="203"/>
      <c r="K24" s="203"/>
      <c r="L24" s="193" t="str" cm="1">
        <f t="array" aca="1" ref="L24:O27" ca="1" xml:space="preserve"> _xlfn._xlws.FILTER(_xlfn.CHOOSECOLS(Transaction[],2,1,3,7),(Transaction[Année]=$B$2)*(Transaction[MOIS]=$B$3)*(Transaction[Dépense/Revenue]=L22),"")</f>
        <v>PAIEMENT CARTE</v>
      </c>
      <c r="M24" s="194">
        <f ca="1"/>
        <v>46045</v>
      </c>
      <c r="N24" s="195" t="str">
        <f ca="1"/>
        <v>Paiement par carte bancaire</v>
      </c>
      <c r="O24" s="238">
        <f ca="1"/>
        <v>51.85</v>
      </c>
      <c r="P24" s="107">
        <f ca="1">O24</f>
        <v>51.85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2">
        <f>P91</f>
        <v>0</v>
      </c>
      <c r="F25" s="242"/>
      <c r="G25" s="144">
        <f ca="1">O92</f>
        <v>428.31</v>
      </c>
      <c r="H25" s="277">
        <f ca="1">G25-E25</f>
        <v>428.31</v>
      </c>
      <c r="I25" s="278"/>
      <c r="J25" s="203"/>
      <c r="K25" s="203"/>
      <c r="L25" s="182" t="str">
        <f ca="1"/>
        <v>CHEQUE</v>
      </c>
      <c r="M25" s="186">
        <f ca="1"/>
        <v>46048</v>
      </c>
      <c r="N25" s="183" t="str">
        <f ca="1"/>
        <v>Chèque émis</v>
      </c>
      <c r="O25" s="202">
        <f ca="1"/>
        <v>54.89</v>
      </c>
      <c r="P25" s="107">
        <f ca="1">O25</f>
        <v>54.89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2"/>
      <c r="F26" s="242"/>
      <c r="G26" s="144"/>
      <c r="H26" s="277"/>
      <c r="I26" s="278"/>
      <c r="J26" s="203"/>
      <c r="K26" s="203"/>
      <c r="L26" s="182" t="str">
        <f ca="1"/>
        <v>CHEQUE</v>
      </c>
      <c r="M26" s="186">
        <f ca="1"/>
        <v>46048</v>
      </c>
      <c r="N26" s="183" t="str">
        <f ca="1"/>
        <v>Chèque émis</v>
      </c>
      <c r="O26" s="202">
        <f ca="1"/>
        <v>131.1</v>
      </c>
      <c r="P26" s="107">
        <f t="shared" ref="P26:P91" ca="1" si="1">O26</f>
        <v>131.1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2"/>
      <c r="F27" s="242"/>
      <c r="G27" s="144"/>
      <c r="H27" s="277"/>
      <c r="I27" s="278"/>
      <c r="J27" s="203"/>
      <c r="K27" s="203"/>
      <c r="L27" s="182" t="str">
        <f ca="1"/>
        <v>PAIEMENT EN LIGNE</v>
      </c>
      <c r="M27" s="186">
        <f ca="1"/>
        <v>46029</v>
      </c>
      <c r="N27" s="183" t="str">
        <f ca="1"/>
        <v>Paiement en ligne - sites divers</v>
      </c>
      <c r="O27" s="202">
        <f ca="1"/>
        <v>190.47</v>
      </c>
      <c r="P27" s="107">
        <f t="shared" ca="1" si="1"/>
        <v>190.47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2"/>
      <c r="F28" s="242"/>
      <c r="G28" s="144"/>
      <c r="H28" s="277"/>
      <c r="I28" s="278"/>
      <c r="J28" s="203"/>
      <c r="K28" s="203"/>
      <c r="L28" s="182"/>
      <c r="M28" s="186"/>
      <c r="N28" s="183"/>
      <c r="O28" s="202"/>
      <c r="P28" s="107">
        <f t="shared" si="1"/>
        <v>0</v>
      </c>
      <c r="Q28" s="192">
        <f t="shared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4"/>
      <c r="F29" s="244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200.10999999999996</v>
      </c>
      <c r="H30" s="281">
        <f ca="1">H24-SUM(H25:I29)</f>
        <v>200.10999999999996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PAIEMENT EN LIGNE</v>
      </c>
      <c r="C39" s="197">
        <f ca="1"/>
        <v>46031</v>
      </c>
      <c r="D39" s="198" t="str">
        <f ca="1"/>
        <v>Paiement en ligne - sites divers</v>
      </c>
      <c r="E39" s="199">
        <f ca="1"/>
        <v>628.41999999999996</v>
      </c>
      <c r="F39" s="148"/>
      <c r="G39" s="148"/>
      <c r="H39" s="149">
        <f t="shared" ref="H39:H92" ca="1" si="2">E39-F39</f>
        <v>628.41999999999996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628.41999999999996</v>
      </c>
      <c r="F92" s="150">
        <f>SUM(F39:G91)</f>
        <v>0</v>
      </c>
      <c r="G92" s="150"/>
      <c r="H92" s="151">
        <f t="shared" ca="1" si="2"/>
        <v>628.41999999999996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428.31</v>
      </c>
      <c r="P92" s="153">
        <f ca="1">SUM(P24:P91)</f>
        <v>428.31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Gs6nMXbEgvCO+PxYpZCMFBqQdMN+htOkVteGzXmmdA1saLeMV7OKrgxih7Y6RO0H0mAzMDCodhwM6yGWQ95dsw==" saltValue="NvAgsOJYDRmo2O29Vsg7bQ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47" priority="7" operator="greaterThan">
      <formula>0</formula>
    </cfRule>
    <cfRule type="cellIs" dxfId="46" priority="8" operator="lessThan">
      <formula>0</formula>
    </cfRule>
  </conditionalFormatting>
  <conditionalFormatting sqref="Q24:Q91 H25:H29">
    <cfRule type="cellIs" dxfId="45" priority="5" operator="lessThan">
      <formula>0</formula>
    </cfRule>
    <cfRule type="cellIs" dxfId="44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9E6F-F5F1-42F6-B8F2-4DD453E61FFB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Février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1154.22</v>
      </c>
      <c r="C6" s="223"/>
      <c r="E6" s="224"/>
      <c r="F6" s="224"/>
      <c r="H6" s="138">
        <f ca="1">SUM(G25:G29)</f>
        <v>485.21000000000004</v>
      </c>
      <c r="I6" s="223"/>
      <c r="J6" s="224"/>
      <c r="K6" s="224"/>
      <c r="L6" s="249">
        <f ca="1">Janvier!B14</f>
        <v>358.08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358.08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1027.0899999999999</v>
      </c>
      <c r="C14" s="223"/>
      <c r="E14" s="224"/>
      <c r="F14" s="225"/>
      <c r="H14" s="137">
        <f ca="1">G30</f>
        <v>669.01</v>
      </c>
      <c r="I14" s="223"/>
      <c r="J14" s="224"/>
      <c r="K14" s="224"/>
      <c r="L14" s="137">
        <f ca="1">L10+L6</f>
        <v>368.08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3" t="s">
        <v>20</v>
      </c>
      <c r="F23" s="243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2">
        <f>F92</f>
        <v>0</v>
      </c>
      <c r="F24" s="242"/>
      <c r="G24" s="144">
        <f ca="1">E92</f>
        <v>1154.22</v>
      </c>
      <c r="H24" s="277">
        <f ca="1">G24-E24</f>
        <v>1154.22</v>
      </c>
      <c r="I24" s="278"/>
      <c r="J24" s="203"/>
      <c r="K24" s="203"/>
      <c r="L24" s="193" t="str" cm="1">
        <f t="array" aca="1" ref="L24:O28" ca="1" xml:space="preserve"> _xlfn._xlws.FILTER(_xlfn.CHOOSECOLS(Transaction[],2,1,3,7),(Transaction[Année]=$B$2)*(Transaction[MOIS]=$B$3)*(Transaction[Dépense/Revenue]=L22),"")</f>
        <v>REMBOURSEMENT PRET</v>
      </c>
      <c r="M24" s="194">
        <f ca="1"/>
        <v>46075</v>
      </c>
      <c r="N24" s="195" t="str">
        <f ca="1"/>
        <v>Remboursement prêt immobilier</v>
      </c>
      <c r="O24" s="238">
        <f ca="1"/>
        <v>61.71</v>
      </c>
      <c r="P24" s="107">
        <f ca="1">O24</f>
        <v>61.71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2">
        <f>P91</f>
        <v>0</v>
      </c>
      <c r="F25" s="242"/>
      <c r="G25" s="144">
        <f ca="1">O92</f>
        <v>485.21000000000004</v>
      </c>
      <c r="H25" s="277">
        <f ca="1">G25-E25</f>
        <v>485.21000000000004</v>
      </c>
      <c r="I25" s="278"/>
      <c r="J25" s="203"/>
      <c r="K25" s="203"/>
      <c r="L25" s="182" t="str">
        <f ca="1"/>
        <v>RETRAIT DAB</v>
      </c>
      <c r="M25" s="186">
        <f ca="1"/>
        <v>46059</v>
      </c>
      <c r="N25" s="183" t="str">
        <f ca="1"/>
        <v>Retrait au distributeur automatique</v>
      </c>
      <c r="O25" s="202">
        <f ca="1"/>
        <v>84.48</v>
      </c>
      <c r="P25" s="107">
        <f ca="1">O25</f>
        <v>84.48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2"/>
      <c r="F26" s="242"/>
      <c r="G26" s="144"/>
      <c r="H26" s="277"/>
      <c r="I26" s="278"/>
      <c r="J26" s="203"/>
      <c r="K26" s="203"/>
      <c r="L26" s="182" t="str">
        <f ca="1"/>
        <v>RESTAURANT</v>
      </c>
      <c r="M26" s="186">
        <f ca="1"/>
        <v>46073</v>
      </c>
      <c r="N26" s="183" t="str">
        <f ca="1"/>
        <v>Restaurant Le Bistro Parisien</v>
      </c>
      <c r="O26" s="202">
        <f ca="1"/>
        <v>93.95</v>
      </c>
      <c r="P26" s="107">
        <f t="shared" ref="P26:P91" ca="1" si="1">O26</f>
        <v>93.95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2"/>
      <c r="F27" s="242"/>
      <c r="G27" s="144"/>
      <c r="H27" s="277"/>
      <c r="I27" s="278"/>
      <c r="J27" s="203"/>
      <c r="K27" s="203"/>
      <c r="L27" s="182" t="str">
        <f ca="1"/>
        <v>TRANSPORT</v>
      </c>
      <c r="M27" s="186">
        <f ca="1"/>
        <v>46058</v>
      </c>
      <c r="N27" s="183" t="str">
        <f ca="1"/>
        <v>Abonnement transports RATP</v>
      </c>
      <c r="O27" s="202">
        <f ca="1"/>
        <v>112.1</v>
      </c>
      <c r="P27" s="107">
        <f t="shared" ca="1" si="1"/>
        <v>112.1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2"/>
      <c r="F28" s="242"/>
      <c r="G28" s="144"/>
      <c r="H28" s="277"/>
      <c r="I28" s="278"/>
      <c r="J28" s="203"/>
      <c r="K28" s="203"/>
      <c r="L28" s="182" t="str">
        <f ca="1"/>
        <v>PAIEMENT GOOGLE</v>
      </c>
      <c r="M28" s="186">
        <f ca="1"/>
        <v>46062</v>
      </c>
      <c r="N28" s="183" t="str">
        <f ca="1"/>
        <v>Paiement Google Play Store</v>
      </c>
      <c r="O28" s="202">
        <f ca="1"/>
        <v>132.97</v>
      </c>
      <c r="P28" s="107">
        <f t="shared" ca="1" si="1"/>
        <v>132.97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4"/>
      <c r="F29" s="244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669.01</v>
      </c>
      <c r="H30" s="281">
        <f ca="1">H24-SUM(H25:I29)</f>
        <v>669.01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ASSURANCE AUTO</v>
      </c>
      <c r="C39" s="197">
        <f ca="1"/>
        <v>46070</v>
      </c>
      <c r="D39" s="198" t="str">
        <f ca="1"/>
        <v>Prélèvement assurance automobile</v>
      </c>
      <c r="E39" s="199">
        <f ca="1"/>
        <v>1154.22</v>
      </c>
      <c r="F39" s="148">
        <f>0</f>
        <v>0</v>
      </c>
      <c r="G39" s="148"/>
      <c r="H39" s="149">
        <f t="shared" ref="H39:H92" ca="1" si="2">E39-F39</f>
        <v>1154.22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1154.22</v>
      </c>
      <c r="F92" s="150">
        <f>SUM(F39:G91)</f>
        <v>0</v>
      </c>
      <c r="G92" s="150"/>
      <c r="H92" s="151">
        <f t="shared" ca="1" si="2"/>
        <v>1154.22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485.21000000000004</v>
      </c>
      <c r="P92" s="153">
        <f ca="1">SUM(P24:P91)</f>
        <v>485.21000000000004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pntTBYBMg+5vBb6EQKgS3oIvhbaSpVuGNATZcNAHbNYH/A5CqGNIwYw/GpPz04q1eftiaHIF7nIbCcQvuXTcsQ==" saltValue="ElP6VJlyo+hxFhzDEwYKnA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43" priority="7" operator="greaterThan">
      <formula>0</formula>
    </cfRule>
    <cfRule type="cellIs" dxfId="42" priority="8" operator="lessThan">
      <formula>0</formula>
    </cfRule>
  </conditionalFormatting>
  <conditionalFormatting sqref="Q24:Q91 H25:H29">
    <cfRule type="cellIs" dxfId="41" priority="5" operator="lessThan">
      <formula>0</formula>
    </cfRule>
    <cfRule type="cellIs" dxfId="40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2376-EC0F-4D09-8DCB-EBBE9C5B079A}">
  <dimension ref="A1:U94"/>
  <sheetViews>
    <sheetView topLeftCell="F3" zoomScale="68" zoomScaleNormal="68" zoomScaleSheetLayoutView="50" zoomScalePageLayoutView="80" workbookViewId="0">
      <selection activeCell="M14" sqref="M14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Mars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>G24</f>
        <v>0</v>
      </c>
      <c r="C6" s="223"/>
      <c r="E6" s="224"/>
      <c r="F6" s="224"/>
      <c r="H6" s="138">
        <f ca="1">SUM(G25:G29)</f>
        <v>717.21</v>
      </c>
      <c r="I6" s="223"/>
      <c r="J6" s="224"/>
      <c r="K6" s="224"/>
      <c r="L6" s="249">
        <f ca="1">Février!B14</f>
        <v>1027.0899999999999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1027.0899999999999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309.87999999999988</v>
      </c>
      <c r="C14" s="223"/>
      <c r="E14" s="224"/>
      <c r="F14" s="225"/>
      <c r="H14" s="137">
        <f ca="1">G30</f>
        <v>-717.21</v>
      </c>
      <c r="I14" s="223"/>
      <c r="J14" s="224"/>
      <c r="K14" s="224"/>
      <c r="L14" s="137">
        <f ca="1">L10+L6</f>
        <v>1037.0899999999999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>E92</f>
        <v>0</v>
      </c>
      <c r="H24" s="277">
        <f>G24-E24</f>
        <v>0</v>
      </c>
      <c r="I24" s="278"/>
      <c r="J24" s="203"/>
      <c r="K24" s="203"/>
      <c r="L24" s="193" t="str" cm="1">
        <f t="array" aca="1" ref="L24:O30" ca="1" xml:space="preserve"> _xlfn._xlws.FILTER(_xlfn.CHOOSECOLS(Transaction[],2,1,3,7),(Transaction[Année]=$B$2)*(Transaction[MOIS]=$B$3)*(Transaction[Dépense/Revenue]=L22),"")</f>
        <v>ASSURANCE AUTO</v>
      </c>
      <c r="M24" s="194">
        <f ca="1"/>
        <v>46094</v>
      </c>
      <c r="N24" s="195" t="str">
        <f ca="1"/>
        <v>Prélèvement assurance automobile</v>
      </c>
      <c r="O24" s="238">
        <f ca="1"/>
        <v>12.69</v>
      </c>
      <c r="P24" s="107">
        <f ca="1">O24</f>
        <v>12.69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717.21</v>
      </c>
      <c r="H25" s="277">
        <f ca="1">G25-E25</f>
        <v>717.21</v>
      </c>
      <c r="I25" s="278"/>
      <c r="J25" s="203"/>
      <c r="K25" s="203"/>
      <c r="L25" s="182" t="str">
        <f ca="1"/>
        <v>TRANSPORT</v>
      </c>
      <c r="M25" s="186">
        <f ca="1"/>
        <v>46109</v>
      </c>
      <c r="N25" s="183" t="str">
        <f ca="1"/>
        <v>Abonnement transports RATP</v>
      </c>
      <c r="O25" s="202">
        <f ca="1"/>
        <v>61.18</v>
      </c>
      <c r="P25" s="107">
        <f ca="1">O25</f>
        <v>61.18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STATION ESSENCE</v>
      </c>
      <c r="M26" s="186">
        <f ca="1"/>
        <v>46096</v>
      </c>
      <c r="N26" s="183" t="str">
        <f ca="1"/>
        <v>Station Total - carburant</v>
      </c>
      <c r="O26" s="202">
        <f ca="1"/>
        <v>104.98</v>
      </c>
      <c r="P26" s="107">
        <f t="shared" ref="P26:P91" ca="1" si="1">O26</f>
        <v>104.98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RETRAIT DAB</v>
      </c>
      <c r="M27" s="186">
        <f ca="1"/>
        <v>46101</v>
      </c>
      <c r="N27" s="183" t="str">
        <f ca="1"/>
        <v>Retrait au distributeur automatique</v>
      </c>
      <c r="O27" s="202">
        <f ca="1"/>
        <v>106.58</v>
      </c>
      <c r="P27" s="107">
        <f t="shared" ca="1" si="1"/>
        <v>106.58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REMBOURSEMENT PRET</v>
      </c>
      <c r="M28" s="186">
        <f ca="1"/>
        <v>46092</v>
      </c>
      <c r="N28" s="183" t="str">
        <f ca="1"/>
        <v>Remboursement prêt immobilier</v>
      </c>
      <c r="O28" s="202">
        <f ca="1"/>
        <v>133.11000000000001</v>
      </c>
      <c r="P28" s="107">
        <f t="shared" ca="1" si="1"/>
        <v>133.11000000000001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BON CADEAUX</v>
      </c>
      <c r="M29" s="186">
        <f ca="1"/>
        <v>46103</v>
      </c>
      <c r="N29" s="183" t="str">
        <f ca="1"/>
        <v>Carte cadeau Fnac</v>
      </c>
      <c r="O29" s="202">
        <f ca="1"/>
        <v>144.53</v>
      </c>
      <c r="P29" s="107">
        <f t="shared" ca="1" si="1"/>
        <v>144.53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-717.21</v>
      </c>
      <c r="H30" s="281">
        <f ca="1">H24-SUM(H25:I29)</f>
        <v>-717.21</v>
      </c>
      <c r="I30" s="282"/>
      <c r="J30" s="203"/>
      <c r="K30" s="203"/>
      <c r="L30" s="182" t="str">
        <f ca="1"/>
        <v>CHEQUE</v>
      </c>
      <c r="M30" s="186">
        <f ca="1"/>
        <v>46105</v>
      </c>
      <c r="N30" s="183" t="str">
        <f ca="1"/>
        <v>Chèque émis</v>
      </c>
      <c r="O30" s="202">
        <f ca="1"/>
        <v>154.13999999999999</v>
      </c>
      <c r="P30" s="107">
        <f t="shared" ca="1" si="1"/>
        <v>154.13999999999999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" ca="1" xml:space="preserve"> _xlfn._xlws.FILTER(_xlfn.CHOOSECOLS(Transaction[],2,1,3,7),(Transaction[Année]=$B$2)*(Transaction[MOIS]=$B$3)*(Transaction[Dépense/Revenue]=B37),"")</f>
        <v/>
      </c>
      <c r="C39" s="197"/>
      <c r="D39" s="198"/>
      <c r="E39" s="199"/>
      <c r="F39" s="148">
        <f>0</f>
        <v>0</v>
      </c>
      <c r="G39" s="148"/>
      <c r="H39" s="149">
        <f t="shared" ref="H39:H92" si="2">E39-F39</f>
        <v>0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>SUM(E39:E91)</f>
        <v>0</v>
      </c>
      <c r="F92" s="150">
        <f>SUM(F39:G91)</f>
        <v>0</v>
      </c>
      <c r="G92" s="150"/>
      <c r="H92" s="151">
        <f t="shared" si="2"/>
        <v>0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717.21</v>
      </c>
      <c r="P92" s="153">
        <f ca="1">SUM(P24:P91)</f>
        <v>717.21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n3CqzVdVVmHdzL5EXyXUoERTmSz6NYPK22X3nLL8QVK2hxxompMu/wPgOvkPBmumA4idmN7nhgksOjWbuPR/rw==" saltValue="z4GK7LKANj6faH2eN6PC3A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39" priority="7" operator="greaterThan">
      <formula>0</formula>
    </cfRule>
    <cfRule type="cellIs" dxfId="38" priority="8" operator="lessThan">
      <formula>0</formula>
    </cfRule>
  </conditionalFormatting>
  <conditionalFormatting sqref="Q24:Q91 H25:H29">
    <cfRule type="cellIs" dxfId="37" priority="5" operator="lessThan">
      <formula>0</formula>
    </cfRule>
    <cfRule type="cellIs" dxfId="36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D1BF-4FAA-494E-AE10-6D3E22D015A1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Avril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2194.19</v>
      </c>
      <c r="C6" s="223"/>
      <c r="E6" s="224"/>
      <c r="F6" s="224"/>
      <c r="H6" s="138">
        <f ca="1">SUM(G25:G29)</f>
        <v>455.51</v>
      </c>
      <c r="I6" s="223"/>
      <c r="J6" s="224"/>
      <c r="K6" s="224"/>
      <c r="L6" s="249">
        <f ca="1">Mars!B14</f>
        <v>309.87999999999988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309.87999999999988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2048.5599999999995</v>
      </c>
      <c r="C14" s="223"/>
      <c r="E14" s="224"/>
      <c r="F14" s="225"/>
      <c r="H14" s="137">
        <f ca="1">G30</f>
        <v>1738.68</v>
      </c>
      <c r="I14" s="223"/>
      <c r="J14" s="224"/>
      <c r="K14" s="224"/>
      <c r="L14" s="137">
        <f ca="1">L10+L6</f>
        <v>319.87999999999988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2194.19</v>
      </c>
      <c r="H24" s="277">
        <f ca="1">G24-E24</f>
        <v>2194.19</v>
      </c>
      <c r="I24" s="278"/>
      <c r="J24" s="203"/>
      <c r="K24" s="203"/>
      <c r="L24" s="193" t="str" cm="1">
        <f t="array" aca="1" ref="L24:O28" ca="1" xml:space="preserve"> _xlfn._xlws.FILTER(_xlfn.CHOOSECOLS(Transaction[],2,1,3,7),(Transaction[Année]=$B$2)*(Transaction[MOIS]=$B$3)*(Transaction[Dépense/Revenue]=L22),"")</f>
        <v>FACTURE TELEPHONE</v>
      </c>
      <c r="M24" s="194">
        <f ca="1"/>
        <v>46124</v>
      </c>
      <c r="N24" s="195" t="str">
        <f ca="1"/>
        <v>Paiement facture téléphonique SFR</v>
      </c>
      <c r="O24" s="238">
        <f ca="1"/>
        <v>25.99</v>
      </c>
      <c r="P24" s="107">
        <f ca="1">O24</f>
        <v>25.99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455.51</v>
      </c>
      <c r="H25" s="277">
        <f ca="1">G25-E25</f>
        <v>455.51</v>
      </c>
      <c r="I25" s="278"/>
      <c r="J25" s="203"/>
      <c r="K25" s="203"/>
      <c r="L25" s="182" t="str">
        <f ca="1"/>
        <v>PAIEMENT EN LIGNE</v>
      </c>
      <c r="M25" s="186">
        <f ca="1"/>
        <v>46121</v>
      </c>
      <c r="N25" s="183" t="str">
        <f ca="1"/>
        <v>Paiement en ligne - sites divers</v>
      </c>
      <c r="O25" s="202">
        <f ca="1"/>
        <v>30.83</v>
      </c>
      <c r="P25" s="107">
        <f ca="1">O25</f>
        <v>30.83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VIREMENT EMIS</v>
      </c>
      <c r="M26" s="186">
        <f ca="1"/>
        <v>46124</v>
      </c>
      <c r="N26" s="183" t="str">
        <f ca="1"/>
        <v>Virement émis vers compte épargne</v>
      </c>
      <c r="O26" s="202">
        <f ca="1"/>
        <v>67.790000000000006</v>
      </c>
      <c r="P26" s="107">
        <f t="shared" ref="P26:P91" ca="1" si="1">O26</f>
        <v>67.790000000000006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FACTURE TELEPHONE</v>
      </c>
      <c r="M27" s="186">
        <f ca="1"/>
        <v>46127</v>
      </c>
      <c r="N27" s="183" t="str">
        <f ca="1"/>
        <v>Paiement facture téléphonique SFR</v>
      </c>
      <c r="O27" s="202">
        <f ca="1"/>
        <v>132.87</v>
      </c>
      <c r="P27" s="107">
        <f t="shared" ca="1" si="1"/>
        <v>132.87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COURSES</v>
      </c>
      <c r="M28" s="186">
        <f ca="1"/>
        <v>46113</v>
      </c>
      <c r="N28" s="183" t="str">
        <f ca="1"/>
        <v>Courses alimentaires Carrefour</v>
      </c>
      <c r="O28" s="202">
        <f ca="1"/>
        <v>198.03</v>
      </c>
      <c r="P28" s="107">
        <f t="shared" ca="1" si="1"/>
        <v>198.03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1738.68</v>
      </c>
      <c r="H30" s="281">
        <f ca="1">H24-SUM(H25:I29)</f>
        <v>1738.68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PHARMACIE</v>
      </c>
      <c r="C39" s="197">
        <f ca="1"/>
        <v>46126</v>
      </c>
      <c r="D39" s="198" t="str">
        <f ca="1"/>
        <v>Achat pharmacie</v>
      </c>
      <c r="E39" s="199">
        <f ca="1"/>
        <v>2194.19</v>
      </c>
      <c r="F39" s="148">
        <f>0</f>
        <v>0</v>
      </c>
      <c r="G39" s="148"/>
      <c r="H39" s="149">
        <f t="shared" ref="H39:H92" ca="1" si="2">E39-F39</f>
        <v>2194.19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2194.19</v>
      </c>
      <c r="F92" s="150">
        <f>SUM(F39:G91)</f>
        <v>0</v>
      </c>
      <c r="G92" s="150"/>
      <c r="H92" s="151">
        <f t="shared" ca="1" si="2"/>
        <v>2194.19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455.51</v>
      </c>
      <c r="P92" s="153">
        <f ca="1">SUM(P24:P91)</f>
        <v>455.51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ugBbB4e9tfqxUVoTtXp9OcOpZV1/raKdiTtnbx4LV6dwPHoMBHHxjjHgx+1mFls2wccUUz8mNZmVhYv9RBuP/g==" saltValue="480O+9q/fhkFA618gG/QRw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35" priority="7" operator="greaterThan">
      <formula>0</formula>
    </cfRule>
    <cfRule type="cellIs" dxfId="34" priority="8" operator="lessThan">
      <formula>0</formula>
    </cfRule>
  </conditionalFormatting>
  <conditionalFormatting sqref="Q24:Q91 H25:H29">
    <cfRule type="cellIs" dxfId="33" priority="5" operator="lessThan">
      <formula>0</formula>
    </cfRule>
    <cfRule type="cellIs" dxfId="32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011E-4345-4730-BADF-AA41247FA6B5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Mai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2611.62</v>
      </c>
      <c r="C6" s="223"/>
      <c r="E6" s="224"/>
      <c r="F6" s="224"/>
      <c r="H6" s="138">
        <f ca="1">SUM(G25:G29)</f>
        <v>569.70000000000005</v>
      </c>
      <c r="I6" s="223"/>
      <c r="J6" s="224"/>
      <c r="K6" s="224"/>
      <c r="L6" s="249">
        <f ca="1">Avril!B14</f>
        <v>2048.5599999999995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2048.5599999999995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4090.4799999999996</v>
      </c>
      <c r="C14" s="223"/>
      <c r="E14" s="224"/>
      <c r="F14" s="225"/>
      <c r="H14" s="137">
        <f ca="1">G30</f>
        <v>2041.9199999999998</v>
      </c>
      <c r="I14" s="223"/>
      <c r="J14" s="224"/>
      <c r="K14" s="224"/>
      <c r="L14" s="137">
        <f ca="1">L10+L6</f>
        <v>2058.5599999999995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2611.62</v>
      </c>
      <c r="H24" s="277">
        <f ca="1">G24-E24</f>
        <v>2611.62</v>
      </c>
      <c r="I24" s="278"/>
      <c r="J24" s="203"/>
      <c r="K24" s="203"/>
      <c r="L24" s="193" t="str" cm="1">
        <f t="array" aca="1" ref="L24:O30" ca="1" xml:space="preserve"> _xlfn._xlws.FILTER(_xlfn.CHOOSECOLS(Transaction[],2,1,3,7),(Transaction[Année]=$B$2)*(Transaction[MOIS]=$B$3)*(Transaction[Dépense/Revenue]=L22),"")</f>
        <v>TRANSPORT</v>
      </c>
      <c r="M24" s="194">
        <f ca="1"/>
        <v>46172</v>
      </c>
      <c r="N24" s="195" t="str">
        <f ca="1"/>
        <v>Abonnement transports RATP</v>
      </c>
      <c r="O24" s="238">
        <f ca="1"/>
        <v>17.27</v>
      </c>
      <c r="P24" s="107">
        <f ca="1">O24</f>
        <v>17.27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569.70000000000005</v>
      </c>
      <c r="H25" s="277">
        <f ca="1">G25-E25</f>
        <v>569.70000000000005</v>
      </c>
      <c r="I25" s="278"/>
      <c r="J25" s="203"/>
      <c r="K25" s="203"/>
      <c r="L25" s="182" t="str">
        <f ca="1"/>
        <v>RETRAIT DAB</v>
      </c>
      <c r="M25" s="186">
        <f ca="1"/>
        <v>46151</v>
      </c>
      <c r="N25" s="183" t="str">
        <f ca="1"/>
        <v>Retrait au distributeur automatique</v>
      </c>
      <c r="O25" s="202">
        <f ca="1"/>
        <v>28.73</v>
      </c>
      <c r="P25" s="107">
        <f ca="1">O25</f>
        <v>28.73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CINEMA</v>
      </c>
      <c r="M26" s="186">
        <f ca="1"/>
        <v>46146</v>
      </c>
      <c r="N26" s="183" t="str">
        <f ca="1"/>
        <v>Place de cinéma UGC</v>
      </c>
      <c r="O26" s="202">
        <f ca="1"/>
        <v>59.03</v>
      </c>
      <c r="P26" s="107">
        <f t="shared" ref="P26:P91" ca="1" si="1">O26</f>
        <v>59.03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REMUNERATION</v>
      </c>
      <c r="M27" s="186">
        <f ca="1"/>
        <v>46162</v>
      </c>
      <c r="N27" s="183" t="str">
        <f ca="1"/>
        <v>Salaire - Société ABC</v>
      </c>
      <c r="O27" s="202">
        <f ca="1"/>
        <v>74.36</v>
      </c>
      <c r="P27" s="107">
        <f t="shared" ca="1" si="1"/>
        <v>74.36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FACTURE TELEPHONE</v>
      </c>
      <c r="M28" s="186">
        <f ca="1"/>
        <v>46172</v>
      </c>
      <c r="N28" s="183" t="str">
        <f ca="1"/>
        <v>Paiement facture téléphonique SFR</v>
      </c>
      <c r="O28" s="202">
        <f ca="1"/>
        <v>78.98</v>
      </c>
      <c r="P28" s="107">
        <f t="shared" ca="1" si="1"/>
        <v>78.98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PAIEMENT CARTE</v>
      </c>
      <c r="M29" s="186">
        <f ca="1"/>
        <v>46169</v>
      </c>
      <c r="N29" s="183" t="str">
        <f ca="1"/>
        <v>Paiement par carte bancaire</v>
      </c>
      <c r="O29" s="202">
        <f ca="1"/>
        <v>113.12</v>
      </c>
      <c r="P29" s="107">
        <f t="shared" ca="1" si="1"/>
        <v>113.12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2041.9199999999998</v>
      </c>
      <c r="H30" s="281">
        <f ca="1">H24-SUM(H25:I29)</f>
        <v>2041.9199999999998</v>
      </c>
      <c r="I30" s="282"/>
      <c r="J30" s="203"/>
      <c r="K30" s="203"/>
      <c r="L30" s="182" t="str">
        <f ca="1"/>
        <v>RESTAURANT</v>
      </c>
      <c r="M30" s="186">
        <f ca="1"/>
        <v>46164</v>
      </c>
      <c r="N30" s="183" t="str">
        <f ca="1"/>
        <v>Restaurant Le Bistro Parisien</v>
      </c>
      <c r="O30" s="202">
        <f ca="1"/>
        <v>198.21</v>
      </c>
      <c r="P30" s="107">
        <f t="shared" ca="1" si="1"/>
        <v>198.21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BON CADEAUX</v>
      </c>
      <c r="C39" s="197">
        <f ca="1"/>
        <v>46151</v>
      </c>
      <c r="D39" s="198" t="str">
        <f ca="1"/>
        <v>Carte cadeau Fnac</v>
      </c>
      <c r="E39" s="199">
        <f ca="1"/>
        <v>2611.62</v>
      </c>
      <c r="F39" s="148">
        <f>0</f>
        <v>0</v>
      </c>
      <c r="G39" s="148"/>
      <c r="H39" s="149">
        <f t="shared" ref="H39:H92" ca="1" si="2">E39-F39</f>
        <v>2611.62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2611.62</v>
      </c>
      <c r="F92" s="150">
        <f>SUM(F39:G91)</f>
        <v>0</v>
      </c>
      <c r="G92" s="150"/>
      <c r="H92" s="151">
        <f t="shared" ca="1" si="2"/>
        <v>2611.62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569.70000000000005</v>
      </c>
      <c r="P92" s="153">
        <f ca="1">SUM(P24:P91)</f>
        <v>569.70000000000005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ug1o8Os3lb01ZuJFoKQ+rXy2Xj5+XnIxzRAuiJt/fQhmScQQ+gcWIzFokjAtN5zc6klmsTfGkt07u8GEoRFfwg==" saltValue="uwia097Hcy1unNK3oiY4Rw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31" priority="7" operator="greaterThan">
      <formula>0</formula>
    </cfRule>
    <cfRule type="cellIs" dxfId="30" priority="8" operator="lessThan">
      <formula>0</formula>
    </cfRule>
  </conditionalFormatting>
  <conditionalFormatting sqref="Q24:Q91 H25:H29">
    <cfRule type="cellIs" dxfId="29" priority="5" operator="lessThan">
      <formula>0</formula>
    </cfRule>
    <cfRule type="cellIs" dxfId="28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7979-04BD-4BE3-8699-3EC08195A8EF}">
  <dimension ref="A1:U94"/>
  <sheetViews>
    <sheetView topLeftCell="J3" zoomScale="68" zoomScaleNormal="68" zoomScaleSheetLayoutView="50" zoomScalePageLayoutView="80" workbookViewId="0">
      <selection activeCell="N6" sqref="N6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Juin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693.57</v>
      </c>
      <c r="C6" s="223"/>
      <c r="E6" s="224"/>
      <c r="F6" s="224"/>
      <c r="H6" s="138">
        <f ca="1">SUM(G25:G29)</f>
        <v>1108.51</v>
      </c>
      <c r="I6" s="223"/>
      <c r="J6" s="224"/>
      <c r="K6" s="224"/>
      <c r="L6" s="249">
        <f ca="1">Mai!B14</f>
        <v>4090.4799999999996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4090.4799999999996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3675.5399999999991</v>
      </c>
      <c r="C14" s="223"/>
      <c r="E14" s="224"/>
      <c r="F14" s="225"/>
      <c r="H14" s="137">
        <f ca="1">G30</f>
        <v>-414.93999999999994</v>
      </c>
      <c r="I14" s="223"/>
      <c r="J14" s="224"/>
      <c r="K14" s="224"/>
      <c r="L14" s="137">
        <f ca="1">L10+L6</f>
        <v>4100.4799999999996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693.57</v>
      </c>
      <c r="H24" s="277">
        <f ca="1">G24-E24</f>
        <v>693.57</v>
      </c>
      <c r="I24" s="278"/>
      <c r="J24" s="203"/>
      <c r="K24" s="203"/>
      <c r="L24" s="193" t="str" cm="1">
        <f t="array" aca="1" ref="L24:O34" ca="1" xml:space="preserve"> _xlfn._xlws.FILTER(_xlfn.CHOOSECOLS(Transaction[],2,1,3,7),(Transaction[Année]=$B$2)*(Transaction[MOIS]=$B$3)*(Transaction[Dépense/Revenue]=L22),"")</f>
        <v>VIREMENT EMIS</v>
      </c>
      <c r="M24" s="194">
        <f ca="1"/>
        <v>46190</v>
      </c>
      <c r="N24" s="195" t="str">
        <f ca="1"/>
        <v>Virement émis vers compte épargne</v>
      </c>
      <c r="O24" s="238">
        <f ca="1"/>
        <v>32.369999999999997</v>
      </c>
      <c r="P24" s="107">
        <f ca="1">O24</f>
        <v>32.369999999999997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1108.51</v>
      </c>
      <c r="H25" s="277">
        <f ca="1">G25-E25</f>
        <v>1108.51</v>
      </c>
      <c r="I25" s="278"/>
      <c r="J25" s="203"/>
      <c r="K25" s="203"/>
      <c r="L25" s="182" t="str">
        <f ca="1"/>
        <v>PAIEMENT GOOGLE</v>
      </c>
      <c r="M25" s="186">
        <f ca="1"/>
        <v>46192</v>
      </c>
      <c r="N25" s="183" t="str">
        <f ca="1"/>
        <v>Paiement Google Play Store</v>
      </c>
      <c r="O25" s="202">
        <f ca="1"/>
        <v>33.04</v>
      </c>
      <c r="P25" s="107">
        <f ca="1">O25</f>
        <v>33.04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PAIEMENT EN LIGNE</v>
      </c>
      <c r="M26" s="186">
        <f ca="1"/>
        <v>46200</v>
      </c>
      <c r="N26" s="183" t="str">
        <f ca="1"/>
        <v>Paiement en ligne - sites divers</v>
      </c>
      <c r="O26" s="202">
        <f ca="1"/>
        <v>70.39</v>
      </c>
      <c r="P26" s="107">
        <f t="shared" ref="P26:P91" ca="1" si="1">O26</f>
        <v>70.39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ASSURANCE AUTO</v>
      </c>
      <c r="M27" s="186">
        <f ca="1"/>
        <v>46174</v>
      </c>
      <c r="N27" s="183" t="str">
        <f ca="1"/>
        <v>Prélèvement assurance automobile</v>
      </c>
      <c r="O27" s="202">
        <f ca="1"/>
        <v>72.02</v>
      </c>
      <c r="P27" s="107">
        <f t="shared" ca="1" si="1"/>
        <v>72.02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PAIEMENT CARTE</v>
      </c>
      <c r="M28" s="186">
        <f ca="1"/>
        <v>46180</v>
      </c>
      <c r="N28" s="183" t="str">
        <f ca="1"/>
        <v>Paiement par carte bancaire</v>
      </c>
      <c r="O28" s="202">
        <f ca="1"/>
        <v>89.75</v>
      </c>
      <c r="P28" s="107">
        <f t="shared" ca="1" si="1"/>
        <v>89.75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REMUNERATION</v>
      </c>
      <c r="M29" s="186">
        <f ca="1"/>
        <v>46178</v>
      </c>
      <c r="N29" s="183" t="str">
        <f ca="1"/>
        <v>Salaire - Société ABC</v>
      </c>
      <c r="O29" s="202">
        <f ca="1"/>
        <v>107.15</v>
      </c>
      <c r="P29" s="107">
        <f t="shared" ca="1" si="1"/>
        <v>107.15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-414.93999999999994</v>
      </c>
      <c r="H30" s="281">
        <f ca="1">H24-SUM(H25:I29)</f>
        <v>-414.93999999999994</v>
      </c>
      <c r="I30" s="282"/>
      <c r="J30" s="203"/>
      <c r="K30" s="203"/>
      <c r="L30" s="182" t="str">
        <f ca="1"/>
        <v>COURSES</v>
      </c>
      <c r="M30" s="186">
        <f ca="1"/>
        <v>46188</v>
      </c>
      <c r="N30" s="183" t="str">
        <f ca="1"/>
        <v>Courses alimentaires Carrefour</v>
      </c>
      <c r="O30" s="202">
        <f ca="1"/>
        <v>108.25</v>
      </c>
      <c r="P30" s="107">
        <f t="shared" ca="1" si="1"/>
        <v>108.25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 t="str">
        <f ca="1"/>
        <v>FRAIS BANCAIRES</v>
      </c>
      <c r="M31" s="186">
        <f ca="1"/>
        <v>46195</v>
      </c>
      <c r="N31" s="183" t="str">
        <f ca="1"/>
        <v>Frais de tenue de compte mensuels</v>
      </c>
      <c r="O31" s="202">
        <f ca="1"/>
        <v>115.9</v>
      </c>
      <c r="P31" s="107">
        <f t="shared" ca="1" si="1"/>
        <v>115.9</v>
      </c>
      <c r="Q31" s="192">
        <f t="shared" ca="1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 t="str">
        <f ca="1"/>
        <v>COURSES</v>
      </c>
      <c r="M32" s="186">
        <f ca="1"/>
        <v>46190</v>
      </c>
      <c r="N32" s="183" t="str">
        <f ca="1"/>
        <v>Courses alimentaires Carrefour</v>
      </c>
      <c r="O32" s="202">
        <f ca="1"/>
        <v>127.26</v>
      </c>
      <c r="P32" s="107">
        <f t="shared" ca="1" si="1"/>
        <v>127.26</v>
      </c>
      <c r="Q32" s="192">
        <f t="shared" ca="1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 t="str">
        <f ca="1"/>
        <v>REMUNERATION</v>
      </c>
      <c r="M33" s="186">
        <f ca="1"/>
        <v>46174</v>
      </c>
      <c r="N33" s="183" t="str">
        <f ca="1"/>
        <v>Salaire - Société ABC</v>
      </c>
      <c r="O33" s="202">
        <f ca="1"/>
        <v>158.61000000000001</v>
      </c>
      <c r="P33" s="107">
        <f t="shared" ca="1" si="1"/>
        <v>158.61000000000001</v>
      </c>
      <c r="Q33" s="192">
        <f t="shared" ca="1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 t="str">
        <f ca="1"/>
        <v>FRAIS BANCAIRES</v>
      </c>
      <c r="M34" s="186">
        <f ca="1"/>
        <v>46179</v>
      </c>
      <c r="N34" s="183" t="str">
        <f ca="1"/>
        <v>Frais de tenue de compte mensuels</v>
      </c>
      <c r="O34" s="202">
        <f ca="1"/>
        <v>193.77</v>
      </c>
      <c r="P34" s="107">
        <f t="shared" ca="1" si="1"/>
        <v>193.77</v>
      </c>
      <c r="Q34" s="192">
        <f t="shared" ca="1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RETRAIT DAB</v>
      </c>
      <c r="C39" s="197">
        <f ca="1"/>
        <v>46182</v>
      </c>
      <c r="D39" s="198" t="str">
        <f ca="1"/>
        <v>Retrait au distributeur automatique</v>
      </c>
      <c r="E39" s="199">
        <f ca="1"/>
        <v>693.57</v>
      </c>
      <c r="F39" s="148">
        <f>0</f>
        <v>0</v>
      </c>
      <c r="G39" s="148"/>
      <c r="H39" s="149">
        <f t="shared" ref="H39:H92" ca="1" si="2">E39-F39</f>
        <v>693.57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693.57</v>
      </c>
      <c r="F92" s="150">
        <f>SUM(F39:G91)</f>
        <v>0</v>
      </c>
      <c r="G92" s="150"/>
      <c r="H92" s="151">
        <f t="shared" ca="1" si="2"/>
        <v>693.57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1108.51</v>
      </c>
      <c r="P92" s="153">
        <f ca="1">SUM(P24:P91)</f>
        <v>1108.51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M4nv7FODZc+vVznsCKoTj40ujL3TvWUOzzmTb2666gAvNv/gGxNRFxcqKLwJ0ydR8GhlBs/s/6l4KkC1K4mAUw==" saltValue="zM1KQkaL+pJudRJit9dVWg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27" priority="7" operator="greaterThan">
      <formula>0</formula>
    </cfRule>
    <cfRule type="cellIs" dxfId="26" priority="8" operator="lessThan">
      <formula>0</formula>
    </cfRule>
  </conditionalFormatting>
  <conditionalFormatting sqref="Q24:Q91 H25:H29">
    <cfRule type="cellIs" dxfId="25" priority="5" operator="lessThan">
      <formula>0</formula>
    </cfRule>
    <cfRule type="cellIs" dxfId="24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AE3C-F1B0-433F-9B33-2B5AC6ACA32F}">
  <dimension ref="A1:U94"/>
  <sheetViews>
    <sheetView topLeftCell="J3" zoomScale="68" zoomScaleNormal="68" zoomScaleSheetLayoutView="50" zoomScalePageLayoutView="80" workbookViewId="0">
      <selection activeCell="N6" sqref="N6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Juillet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853.81</v>
      </c>
      <c r="C6" s="223"/>
      <c r="E6" s="224"/>
      <c r="F6" s="224"/>
      <c r="H6" s="138">
        <f ca="1">SUM(G25:G29)</f>
        <v>1108</v>
      </c>
      <c r="I6" s="223"/>
      <c r="J6" s="224"/>
      <c r="K6" s="224"/>
      <c r="L6" s="249">
        <f ca="1">Juin!B14</f>
        <v>3675.5399999999991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3675.5399999999991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3421.3499999999985</v>
      </c>
      <c r="C14" s="223"/>
      <c r="E14" s="224"/>
      <c r="F14" s="225"/>
      <c r="H14" s="137">
        <f ca="1">G30</f>
        <v>-254.19000000000005</v>
      </c>
      <c r="I14" s="223"/>
      <c r="J14" s="224"/>
      <c r="K14" s="224"/>
      <c r="L14" s="137">
        <f ca="1">L10+L6</f>
        <v>3685.5399999999991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853.81</v>
      </c>
      <c r="H24" s="277">
        <f ca="1">G24-E24</f>
        <v>853.81</v>
      </c>
      <c r="I24" s="278"/>
      <c r="J24" s="203"/>
      <c r="K24" s="203"/>
      <c r="L24" s="193" t="str" cm="1">
        <f t="array" aca="1" ref="L24:O32" ca="1" xml:space="preserve"> _xlfn._xlws.FILTER(_xlfn.CHOOSECOLS(Transaction[],2,1,3,7),(Transaction[Année]=$B$2)*(Transaction[MOIS]=$B$3)*(Transaction[Dépense/Revenue]=L22),"")</f>
        <v>RESTAURANT</v>
      </c>
      <c r="M24" s="194">
        <f ca="1"/>
        <v>46213</v>
      </c>
      <c r="N24" s="195" t="str">
        <f ca="1"/>
        <v>Restaurant Le Bistro Parisien</v>
      </c>
      <c r="O24" s="238">
        <f ca="1"/>
        <v>40.4</v>
      </c>
      <c r="P24" s="107">
        <f ca="1">O24</f>
        <v>40.4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1108</v>
      </c>
      <c r="H25" s="277">
        <f ca="1">G25-E25</f>
        <v>1108</v>
      </c>
      <c r="I25" s="278"/>
      <c r="J25" s="203"/>
      <c r="K25" s="203"/>
      <c r="L25" s="182" t="str">
        <f ca="1"/>
        <v>TRANSPORT</v>
      </c>
      <c r="M25" s="186">
        <f ca="1"/>
        <v>46222</v>
      </c>
      <c r="N25" s="183" t="str">
        <f ca="1"/>
        <v>Abonnement transports RATP</v>
      </c>
      <c r="O25" s="202">
        <f ca="1"/>
        <v>42.66</v>
      </c>
      <c r="P25" s="107">
        <f ca="1">O25</f>
        <v>42.66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REMBOURSEMENT PRET</v>
      </c>
      <c r="M26" s="186">
        <f ca="1"/>
        <v>46218</v>
      </c>
      <c r="N26" s="183" t="str">
        <f ca="1"/>
        <v>Remboursement prêt immobilier</v>
      </c>
      <c r="O26" s="202">
        <f ca="1"/>
        <v>113.81</v>
      </c>
      <c r="P26" s="107">
        <f t="shared" ref="P26:P91" ca="1" si="1">O26</f>
        <v>113.81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REMUNERATION</v>
      </c>
      <c r="M27" s="186">
        <f ca="1"/>
        <v>46227</v>
      </c>
      <c r="N27" s="183" t="str">
        <f ca="1"/>
        <v>Salaire - Société ABC</v>
      </c>
      <c r="O27" s="202">
        <f ca="1"/>
        <v>115.24</v>
      </c>
      <c r="P27" s="107">
        <f t="shared" ca="1" si="1"/>
        <v>115.24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PRELEVEMENT ASSURANCE</v>
      </c>
      <c r="M28" s="186">
        <f ca="1"/>
        <v>46226</v>
      </c>
      <c r="N28" s="183" t="str">
        <f ca="1"/>
        <v>Prélèvement mensuel assurance habitation</v>
      </c>
      <c r="O28" s="202">
        <f ca="1"/>
        <v>123.54</v>
      </c>
      <c r="P28" s="107">
        <f t="shared" ca="1" si="1"/>
        <v>123.54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COURSES</v>
      </c>
      <c r="M29" s="186">
        <f ca="1"/>
        <v>46213</v>
      </c>
      <c r="N29" s="183" t="str">
        <f ca="1"/>
        <v>Courses alimentaires Carrefour</v>
      </c>
      <c r="O29" s="202">
        <f ca="1"/>
        <v>136.06</v>
      </c>
      <c r="P29" s="107">
        <f t="shared" ca="1" si="1"/>
        <v>136.06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-254.19000000000005</v>
      </c>
      <c r="H30" s="281">
        <f ca="1">H24-SUM(H25:I29)</f>
        <v>-254.19000000000005</v>
      </c>
      <c r="I30" s="282"/>
      <c r="J30" s="203"/>
      <c r="K30" s="203"/>
      <c r="L30" s="182" t="str">
        <f ca="1"/>
        <v>LOYER</v>
      </c>
      <c r="M30" s="186">
        <f ca="1"/>
        <v>46221</v>
      </c>
      <c r="N30" s="183" t="str">
        <f ca="1"/>
        <v>Paiement loyer mensuel</v>
      </c>
      <c r="O30" s="202">
        <f ca="1"/>
        <v>142.88999999999999</v>
      </c>
      <c r="P30" s="107">
        <f t="shared" ca="1" si="1"/>
        <v>142.88999999999999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 t="str">
        <f ca="1"/>
        <v>BON CADEAUX</v>
      </c>
      <c r="M31" s="186">
        <f ca="1"/>
        <v>46231</v>
      </c>
      <c r="N31" s="183" t="str">
        <f ca="1"/>
        <v>Carte cadeau Fnac</v>
      </c>
      <c r="O31" s="202">
        <f ca="1"/>
        <v>195.54</v>
      </c>
      <c r="P31" s="107">
        <f t="shared" ca="1" si="1"/>
        <v>195.54</v>
      </c>
      <c r="Q31" s="192">
        <f t="shared" ca="1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 t="str">
        <f ca="1"/>
        <v>COMMISSION</v>
      </c>
      <c r="M32" s="186">
        <f ca="1"/>
        <v>46218</v>
      </c>
      <c r="N32" s="183" t="str">
        <f ca="1"/>
        <v>Commission de mouvement</v>
      </c>
      <c r="O32" s="202">
        <f ca="1"/>
        <v>197.86</v>
      </c>
      <c r="P32" s="107">
        <f t="shared" ca="1" si="1"/>
        <v>197.86</v>
      </c>
      <c r="Q32" s="192">
        <f t="shared" ca="1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STATION ESSENCE</v>
      </c>
      <c r="C39" s="197">
        <f ca="1"/>
        <v>46224</v>
      </c>
      <c r="D39" s="198" t="str">
        <f ca="1"/>
        <v>Station Total - carburant</v>
      </c>
      <c r="E39" s="199">
        <f ca="1"/>
        <v>853.81</v>
      </c>
      <c r="F39" s="148">
        <f>0</f>
        <v>0</v>
      </c>
      <c r="G39" s="148"/>
      <c r="H39" s="149">
        <f t="shared" ref="H39:H92" ca="1" si="2">E39-F39</f>
        <v>853.81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853.81</v>
      </c>
      <c r="F92" s="150">
        <f>SUM(F39:G91)</f>
        <v>0</v>
      </c>
      <c r="G92" s="150"/>
      <c r="H92" s="151">
        <f t="shared" ca="1" si="2"/>
        <v>853.81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1108</v>
      </c>
      <c r="P92" s="153">
        <f ca="1">SUM(P24:P91)</f>
        <v>1108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aNrhHy1khyAMRDDTyYIWzukZLgnBtJW7m6Pv1OYiQImm2zmNYs2PLLP6jpjTZbwzcWDqipZItbgPlNKrX8PDbw==" saltValue="IdSBAPgW9AQnhgh9lam1sw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23" priority="7" operator="greaterThan">
      <formula>0</formula>
    </cfRule>
    <cfRule type="cellIs" dxfId="22" priority="8" operator="lessThan">
      <formula>0</formula>
    </cfRule>
  </conditionalFormatting>
  <conditionalFormatting sqref="Q24:Q91 H25:H29">
    <cfRule type="cellIs" dxfId="21" priority="5" operator="lessThan">
      <formula>0</formula>
    </cfRule>
    <cfRule type="cellIs" dxfId="20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701F-0343-4881-85EE-077C2662ADE8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Août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6589.4100000000008</v>
      </c>
      <c r="C6" s="223"/>
      <c r="E6" s="224"/>
      <c r="F6" s="224"/>
      <c r="H6" s="138">
        <f ca="1">SUM(G25:G29)</f>
        <v>478.54</v>
      </c>
      <c r="I6" s="223"/>
      <c r="J6" s="224"/>
      <c r="K6" s="224"/>
      <c r="L6" s="249">
        <f ca="1">Juillet!B14</f>
        <v>3421.3499999999985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4413.4499999999989</v>
      </c>
      <c r="C10" s="223"/>
      <c r="E10" s="224"/>
      <c r="F10" s="225"/>
      <c r="H10" s="137">
        <f ca="1">E24-SUM(E25:F29)</f>
        <v>992.1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9532.2199999999975</v>
      </c>
      <c r="C14" s="223"/>
      <c r="E14" s="224"/>
      <c r="F14" s="225"/>
      <c r="H14" s="137">
        <f ca="1">G30</f>
        <v>6110.8700000000008</v>
      </c>
      <c r="I14" s="223"/>
      <c r="J14" s="224"/>
      <c r="K14" s="224"/>
      <c r="L14" s="137">
        <f ca="1">L10+L6</f>
        <v>3431.3499999999985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 ca="1">F92</f>
        <v>992.1</v>
      </c>
      <c r="F24" s="245"/>
      <c r="G24" s="144">
        <f ca="1">E92</f>
        <v>6589.4100000000008</v>
      </c>
      <c r="H24" s="277">
        <f ca="1">G24-E24</f>
        <v>5597.31</v>
      </c>
      <c r="I24" s="278"/>
      <c r="J24" s="203"/>
      <c r="K24" s="203"/>
      <c r="L24" s="193" t="str" cm="1">
        <f t="array" aca="1" ref="L24:O28" ca="1" xml:space="preserve"> _xlfn._xlws.FILTER(_xlfn.CHOOSECOLS(Transaction[],2,1,3,7),(Transaction[Année]=$B$2)*(Transaction[MOIS]=$B$3)*(Transaction[Dépense/Revenue]=L22),"")</f>
        <v>CINEMA</v>
      </c>
      <c r="M24" s="194">
        <f ca="1"/>
        <v>46262</v>
      </c>
      <c r="N24" s="195" t="str">
        <f ca="1"/>
        <v>Place de cinéma UGC</v>
      </c>
      <c r="O24" s="238">
        <f ca="1"/>
        <v>20.55</v>
      </c>
      <c r="P24" s="107">
        <f ca="1">O24</f>
        <v>20.55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478.54</v>
      </c>
      <c r="H25" s="277">
        <f ca="1">G25-E25</f>
        <v>478.54</v>
      </c>
      <c r="I25" s="278"/>
      <c r="J25" s="203"/>
      <c r="K25" s="203"/>
      <c r="L25" s="182" t="str">
        <f ca="1"/>
        <v>CINEMA</v>
      </c>
      <c r="M25" s="186">
        <f ca="1"/>
        <v>46240</v>
      </c>
      <c r="N25" s="183" t="str">
        <f ca="1"/>
        <v>Place de cinéma UGC</v>
      </c>
      <c r="O25" s="202">
        <f ca="1"/>
        <v>54.94</v>
      </c>
      <c r="P25" s="107">
        <f ca="1">O25</f>
        <v>54.94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LOYER</v>
      </c>
      <c r="M26" s="186">
        <f ca="1"/>
        <v>46239</v>
      </c>
      <c r="N26" s="183" t="str">
        <f ca="1"/>
        <v>Paiement loyer mensuel</v>
      </c>
      <c r="O26" s="202">
        <f ca="1"/>
        <v>116.26</v>
      </c>
      <c r="P26" s="107">
        <f t="shared" ref="P26:P91" ca="1" si="1">O26</f>
        <v>116.26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FRAIS BANCAIRES</v>
      </c>
      <c r="M27" s="186">
        <f ca="1"/>
        <v>46261</v>
      </c>
      <c r="N27" s="183" t="str">
        <f ca="1"/>
        <v>Frais de tenue de compte mensuels</v>
      </c>
      <c r="O27" s="202">
        <f ca="1"/>
        <v>119.72</v>
      </c>
      <c r="P27" s="107">
        <f t="shared" ca="1" si="1"/>
        <v>119.72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VIREMENT EMIS</v>
      </c>
      <c r="M28" s="186">
        <f ca="1"/>
        <v>46257</v>
      </c>
      <c r="N28" s="183" t="str">
        <f ca="1"/>
        <v>Virement émis vers compte épargne</v>
      </c>
      <c r="O28" s="202">
        <f ca="1"/>
        <v>167.07</v>
      </c>
      <c r="P28" s="107">
        <f t="shared" ca="1" si="1"/>
        <v>167.07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 ca="1">E24-SUM(E25:F29)</f>
        <v>992.1</v>
      </c>
      <c r="F30" s="146"/>
      <c r="G30" s="147">
        <f ca="1">G24-SUM(G25:G29)</f>
        <v>6110.8700000000008</v>
      </c>
      <c r="H30" s="281">
        <f ca="1">H24-SUM(H25:I29)</f>
        <v>5118.7700000000004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42" ca="1" xml:space="preserve"> _xlfn._xlws.FILTER(_xlfn.CHOOSECOLS(Transaction[],2,1,3,7),(Transaction[Année]=$B$2)*(Transaction[MOIS]=$B$3)*(Transaction[Dépense/Revenue]=B37),"")</f>
        <v>RESTAURANT</v>
      </c>
      <c r="C39" s="197">
        <f ca="1"/>
        <v>46242</v>
      </c>
      <c r="D39" s="198" t="str">
        <f ca="1"/>
        <v>Restaurant Le Bistro Parisien</v>
      </c>
      <c r="E39" s="199">
        <f ca="1"/>
        <v>2168.98</v>
      </c>
      <c r="F39" s="148">
        <f>0</f>
        <v>0</v>
      </c>
      <c r="G39" s="148"/>
      <c r="H39" s="149">
        <f t="shared" ref="H39:H92" ca="1" si="2">E39-F39</f>
        <v>2168.98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 t="str">
        <f ca="1"/>
        <v>FACTURE TELEPHONE</v>
      </c>
      <c r="C40" s="143">
        <f ca="1"/>
        <v>46246</v>
      </c>
      <c r="D40" s="142" t="str">
        <f ca="1"/>
        <v>Paiement facture téléphonique SFR</v>
      </c>
      <c r="E40" s="148">
        <f ca="1"/>
        <v>1943.32</v>
      </c>
      <c r="F40" s="148">
        <v>0</v>
      </c>
      <c r="G40" s="148"/>
      <c r="H40" s="149">
        <f t="shared" ca="1" si="2"/>
        <v>1943.32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 t="str">
        <f ca="1"/>
        <v>PAIEMENT GOOGLE</v>
      </c>
      <c r="C41" s="143">
        <f ca="1"/>
        <v>46239</v>
      </c>
      <c r="D41" s="142" t="str">
        <f ca="1"/>
        <v>Paiement Google Play Store</v>
      </c>
      <c r="E41" s="148">
        <f ca="1"/>
        <v>1485.01</v>
      </c>
      <c r="F41" s="148">
        <v>0</v>
      </c>
      <c r="G41" s="148"/>
      <c r="H41" s="149">
        <f t="shared" ca="1" si="2"/>
        <v>1485.01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 t="str">
        <f ca="1"/>
        <v>ASSURANCE AUTO</v>
      </c>
      <c r="C42" s="143">
        <f ca="1"/>
        <v>46262</v>
      </c>
      <c r="D42" s="142" t="str">
        <f ca="1"/>
        <v>Prélèvement assurance automobile</v>
      </c>
      <c r="E42" s="148">
        <f ca="1"/>
        <v>992.1</v>
      </c>
      <c r="F42" s="148">
        <f t="shared" ref="F42:F91" ca="1" si="3">E42</f>
        <v>992.1</v>
      </c>
      <c r="G42" s="148"/>
      <c r="H42" s="149">
        <f t="shared" ca="1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6589.4100000000008</v>
      </c>
      <c r="F92" s="150">
        <f ca="1">SUM(F39:G91)</f>
        <v>992.1</v>
      </c>
      <c r="G92" s="150"/>
      <c r="H92" s="151">
        <f t="shared" ca="1" si="2"/>
        <v>5597.31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478.54</v>
      </c>
      <c r="P92" s="153">
        <f ca="1">SUM(P24:P91)</f>
        <v>478.54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40qBMLxJ38fM5qlNiuwvIOKMB2UD/aTpmxudEGr4vM1vnbaOsjr3eXjCjv8SsgAsQn3x/Zwc0vYHnYtHDzkE9w==" saltValue="tcPKK2E375J2B6gjqYkVTg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19" priority="7" operator="greaterThan">
      <formula>0</formula>
    </cfRule>
    <cfRule type="cellIs" dxfId="18" priority="8" operator="lessThan">
      <formula>0</formula>
    </cfRule>
  </conditionalFormatting>
  <conditionalFormatting sqref="Q24:Q91 H25:H29">
    <cfRule type="cellIs" dxfId="17" priority="5" operator="lessThan">
      <formula>0</formula>
    </cfRule>
    <cfRule type="cellIs" dxfId="16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F4D2-871F-47B7-A7AA-C9262C607568}">
  <dimension ref="A1:U94"/>
  <sheetViews>
    <sheetView topLeftCell="J3" zoomScale="68" zoomScaleNormal="68" zoomScaleSheetLayoutView="50" zoomScalePageLayoutView="80" workbookViewId="0">
      <selection activeCell="N6" sqref="N6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Septembre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2567.54</v>
      </c>
      <c r="C6" s="223"/>
      <c r="E6" s="224"/>
      <c r="F6" s="224"/>
      <c r="H6" s="138">
        <f ca="1">SUM(G25:G29)</f>
        <v>507.06999999999994</v>
      </c>
      <c r="I6" s="223"/>
      <c r="J6" s="224"/>
      <c r="K6" s="224"/>
      <c r="L6" s="249">
        <f ca="1">Août!B14</f>
        <v>9532.2199999999975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9532.2199999999975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11592.689999999999</v>
      </c>
      <c r="C14" s="223"/>
      <c r="E14" s="224"/>
      <c r="F14" s="225"/>
      <c r="H14" s="137">
        <f ca="1">G30</f>
        <v>2060.4700000000003</v>
      </c>
      <c r="I14" s="223"/>
      <c r="J14" s="224"/>
      <c r="K14" s="224"/>
      <c r="L14" s="137">
        <f ca="1">L10+L6</f>
        <v>9542.2199999999975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2567.54</v>
      </c>
      <c r="H24" s="277">
        <f ca="1">G24-E24</f>
        <v>2567.54</v>
      </c>
      <c r="I24" s="278"/>
      <c r="J24" s="203"/>
      <c r="K24" s="203"/>
      <c r="L24" s="193" t="str" cm="1">
        <f t="array" aca="1" ref="L24:O27" ca="1" xml:space="preserve"> _xlfn._xlws.FILTER(_xlfn.CHOOSECOLS(Transaction[],2,1,3,7),(Transaction[Année]=$B$2)*(Transaction[MOIS]=$B$3)*(Transaction[Dépense/Revenue]=L22),"")</f>
        <v>TRANSPORT</v>
      </c>
      <c r="M24" s="194">
        <f ca="1"/>
        <v>46276</v>
      </c>
      <c r="N24" s="195" t="str">
        <f ca="1"/>
        <v>Abonnement transports RATP</v>
      </c>
      <c r="O24" s="238">
        <f ca="1"/>
        <v>90.98</v>
      </c>
      <c r="P24" s="107">
        <f ca="1">O24</f>
        <v>90.98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507.06999999999994</v>
      </c>
      <c r="H25" s="277">
        <f ca="1">G25-E25</f>
        <v>507.06999999999994</v>
      </c>
      <c r="I25" s="278"/>
      <c r="J25" s="203"/>
      <c r="K25" s="203"/>
      <c r="L25" s="182" t="str">
        <f ca="1"/>
        <v>REMBOURSEMENT PRET</v>
      </c>
      <c r="M25" s="186">
        <f ca="1"/>
        <v>46272</v>
      </c>
      <c r="N25" s="183" t="str">
        <f ca="1"/>
        <v>Remboursement prêt immobilier</v>
      </c>
      <c r="O25" s="202">
        <f ca="1"/>
        <v>132.38</v>
      </c>
      <c r="P25" s="107">
        <f ca="1">O25</f>
        <v>132.38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FRAIS BANCAIRES</v>
      </c>
      <c r="M26" s="186">
        <f ca="1"/>
        <v>46289</v>
      </c>
      <c r="N26" s="183" t="str">
        <f ca="1"/>
        <v>Frais de tenue de compte mensuels</v>
      </c>
      <c r="O26" s="202">
        <f ca="1"/>
        <v>139.16999999999999</v>
      </c>
      <c r="P26" s="107">
        <f t="shared" ref="P26:P91" ca="1" si="1">O26</f>
        <v>139.16999999999999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PAIEMENT CARTE</v>
      </c>
      <c r="M27" s="186">
        <f ca="1"/>
        <v>46279</v>
      </c>
      <c r="N27" s="183" t="str">
        <f ca="1"/>
        <v>Paiement par carte bancaire</v>
      </c>
      <c r="O27" s="202">
        <f ca="1"/>
        <v>144.54</v>
      </c>
      <c r="P27" s="107">
        <f t="shared" ca="1" si="1"/>
        <v>144.54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/>
      <c r="M28" s="186"/>
      <c r="N28" s="183"/>
      <c r="O28" s="202"/>
      <c r="P28" s="107">
        <f t="shared" si="1"/>
        <v>0</v>
      </c>
      <c r="Q28" s="192">
        <f t="shared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2060.4700000000003</v>
      </c>
      <c r="H30" s="281">
        <f ca="1">H24-SUM(H25:I29)</f>
        <v>2060.4700000000003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RETRAIT DAB</v>
      </c>
      <c r="C39" s="197">
        <f ca="1"/>
        <v>46278</v>
      </c>
      <c r="D39" s="198" t="str">
        <f ca="1"/>
        <v>Retrait au distributeur automatique</v>
      </c>
      <c r="E39" s="199">
        <f ca="1"/>
        <v>2567.54</v>
      </c>
      <c r="F39" s="148">
        <f>0</f>
        <v>0</v>
      </c>
      <c r="G39" s="148"/>
      <c r="H39" s="149">
        <f t="shared" ref="H39:H92" ca="1" si="2">E39-F39</f>
        <v>2567.54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2567.54</v>
      </c>
      <c r="F92" s="150">
        <f>SUM(F39:G91)</f>
        <v>0</v>
      </c>
      <c r="G92" s="150"/>
      <c r="H92" s="151">
        <f t="shared" ca="1" si="2"/>
        <v>2567.54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507.06999999999994</v>
      </c>
      <c r="P92" s="153">
        <f ca="1">SUM(P24:P91)</f>
        <v>507.06999999999994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gVxAyl597Q/5qjJkiCgiYwGogloHh4FEdev8aGX1CVtBHW71Xd1ky/UqKzfKgzWyxT/xc4JR9tcWIvroquuL8w==" saltValue="i0PTdiuFDZXnTWmOnqdk/w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15" priority="7" operator="greaterThan">
      <formula>0</formula>
    </cfRule>
    <cfRule type="cellIs" dxfId="14" priority="8" operator="lessThan">
      <formula>0</formula>
    </cfRule>
  </conditionalFormatting>
  <conditionalFormatting sqref="Q24:Q91 H25:H29">
    <cfRule type="cellIs" dxfId="13" priority="5" operator="lessThan">
      <formula>0</formula>
    </cfRule>
    <cfRule type="cellIs" dxfId="12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E82D-7F72-4873-974A-43445CFA99EE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Octobre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2200.61</v>
      </c>
      <c r="C6" s="223"/>
      <c r="E6" s="224"/>
      <c r="F6" s="224"/>
      <c r="H6" s="138">
        <f ca="1">SUM(G25:G29)</f>
        <v>806.26</v>
      </c>
      <c r="I6" s="223"/>
      <c r="J6" s="224"/>
      <c r="K6" s="224"/>
      <c r="L6" s="249">
        <f ca="1">Septembre!B14</f>
        <v>11592.689999999999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11592.689999999999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12987.039999999999</v>
      </c>
      <c r="C14" s="223"/>
      <c r="E14" s="224"/>
      <c r="F14" s="225"/>
      <c r="H14" s="137">
        <f ca="1">G30</f>
        <v>1394.3500000000001</v>
      </c>
      <c r="I14" s="223"/>
      <c r="J14" s="224"/>
      <c r="K14" s="224"/>
      <c r="L14" s="137">
        <f ca="1">L10+L6</f>
        <v>11602.689999999999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2200.61</v>
      </c>
      <c r="H24" s="277">
        <f ca="1">G24-E24</f>
        <v>2200.61</v>
      </c>
      <c r="I24" s="278"/>
      <c r="J24" s="203"/>
      <c r="K24" s="203"/>
      <c r="L24" s="193" t="str" cm="1">
        <f t="array" aca="1" ref="L24:O31" ca="1" xml:space="preserve"> _xlfn._xlws.FILTER(_xlfn.CHOOSECOLS(Transaction[],2,1,3,7),(Transaction[Année]=$B$2)*(Transaction[MOIS]=$B$3)*(Transaction[Dépense/Revenue]=L22),"")</f>
        <v>CINEMA</v>
      </c>
      <c r="M24" s="194">
        <f ca="1"/>
        <v>46303</v>
      </c>
      <c r="N24" s="195" t="str">
        <f ca="1"/>
        <v>Place de cinéma UGC</v>
      </c>
      <c r="O24" s="238">
        <f ca="1"/>
        <v>22.41</v>
      </c>
      <c r="P24" s="107">
        <f ca="1">O24</f>
        <v>22.41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806.26</v>
      </c>
      <c r="H25" s="277">
        <f ca="1">G25-E25</f>
        <v>806.26</v>
      </c>
      <c r="I25" s="278"/>
      <c r="J25" s="203"/>
      <c r="K25" s="203"/>
      <c r="L25" s="182" t="str">
        <f ca="1"/>
        <v>VIR SEPA RECU</v>
      </c>
      <c r="M25" s="186">
        <f ca="1"/>
        <v>46306</v>
      </c>
      <c r="N25" s="183" t="str">
        <f ca="1"/>
        <v>Virement reçu de Mr Dupont Jean</v>
      </c>
      <c r="O25" s="202">
        <f ca="1"/>
        <v>41.22</v>
      </c>
      <c r="P25" s="107">
        <f ca="1">O25</f>
        <v>41.22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ABONNEMENT NETFLIX</v>
      </c>
      <c r="M26" s="186">
        <f ca="1"/>
        <v>46325</v>
      </c>
      <c r="N26" s="183" t="str">
        <f ca="1"/>
        <v>Abonnement Netflix mensuel</v>
      </c>
      <c r="O26" s="202">
        <f ca="1"/>
        <v>50.94</v>
      </c>
      <c r="P26" s="107">
        <f t="shared" ref="P26:P91" ca="1" si="1">O26</f>
        <v>50.94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REMUNERATION</v>
      </c>
      <c r="M27" s="186">
        <f ca="1"/>
        <v>46320</v>
      </c>
      <c r="N27" s="183" t="str">
        <f ca="1"/>
        <v>Salaire - Société ABC</v>
      </c>
      <c r="O27" s="202">
        <f ca="1"/>
        <v>87.52</v>
      </c>
      <c r="P27" s="107">
        <f t="shared" ca="1" si="1"/>
        <v>87.52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COURSES</v>
      </c>
      <c r="M28" s="186">
        <f ca="1"/>
        <v>46303</v>
      </c>
      <c r="N28" s="183" t="str">
        <f ca="1"/>
        <v>Courses alimentaires Carrefour</v>
      </c>
      <c r="O28" s="202">
        <f ca="1"/>
        <v>123.37</v>
      </c>
      <c r="P28" s="107">
        <f t="shared" ca="1" si="1"/>
        <v>123.37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PAIEMENT CARTE</v>
      </c>
      <c r="M29" s="186">
        <f ca="1"/>
        <v>46300</v>
      </c>
      <c r="N29" s="183" t="str">
        <f ca="1"/>
        <v>Paiement par carte bancaire</v>
      </c>
      <c r="O29" s="202">
        <f ca="1"/>
        <v>124.98</v>
      </c>
      <c r="P29" s="107">
        <f t="shared" ca="1" si="1"/>
        <v>124.98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1394.3500000000001</v>
      </c>
      <c r="H30" s="281">
        <f ca="1">H24-SUM(H25:I29)</f>
        <v>1394.3500000000001</v>
      </c>
      <c r="I30" s="282"/>
      <c r="J30" s="203"/>
      <c r="K30" s="203"/>
      <c r="L30" s="182" t="str">
        <f ca="1"/>
        <v>CB SUPERMARCHE</v>
      </c>
      <c r="M30" s="186">
        <f ca="1"/>
        <v>46303</v>
      </c>
      <c r="N30" s="183" t="str">
        <f ca="1"/>
        <v>Paiement carte supermarché Leclerc</v>
      </c>
      <c r="O30" s="202">
        <f ca="1"/>
        <v>172.78</v>
      </c>
      <c r="P30" s="107">
        <f t="shared" ca="1" si="1"/>
        <v>172.78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 t="str">
        <f ca="1"/>
        <v>CINEMA</v>
      </c>
      <c r="M31" s="186">
        <f ca="1"/>
        <v>46312</v>
      </c>
      <c r="N31" s="183" t="str">
        <f ca="1"/>
        <v>Place de cinéma UGC</v>
      </c>
      <c r="O31" s="202">
        <f ca="1"/>
        <v>183.04</v>
      </c>
      <c r="P31" s="107">
        <f t="shared" ca="1" si="1"/>
        <v>183.04</v>
      </c>
      <c r="Q31" s="192">
        <f t="shared" ca="1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39" ca="1" xml:space="preserve"> _xlfn._xlws.FILTER(_xlfn.CHOOSECOLS(Transaction[],2,1,3,7),(Transaction[Année]=$B$2)*(Transaction[MOIS]=$B$3)*(Transaction[Dépense/Revenue]=B37),"")</f>
        <v>PAIEMENT EN LIGNE</v>
      </c>
      <c r="C39" s="197">
        <f ca="1"/>
        <v>46319</v>
      </c>
      <c r="D39" s="198" t="str">
        <f ca="1"/>
        <v>Paiement en ligne - sites divers</v>
      </c>
      <c r="E39" s="199">
        <f ca="1"/>
        <v>2200.61</v>
      </c>
      <c r="F39" s="148">
        <f>0</f>
        <v>0</v>
      </c>
      <c r="G39" s="148"/>
      <c r="H39" s="149">
        <f t="shared" ref="H39:H92" ca="1" si="2">E39-F39</f>
        <v>2200.61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/>
      <c r="C40" s="143"/>
      <c r="D40" s="142"/>
      <c r="E40" s="148"/>
      <c r="F40" s="148">
        <v>0</v>
      </c>
      <c r="G40" s="148"/>
      <c r="H40" s="149">
        <f t="shared" si="2"/>
        <v>0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2200.61</v>
      </c>
      <c r="F92" s="150">
        <f>SUM(F39:G91)</f>
        <v>0</v>
      </c>
      <c r="G92" s="150"/>
      <c r="H92" s="151">
        <f t="shared" ca="1" si="2"/>
        <v>2200.61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806.26</v>
      </c>
      <c r="P92" s="153">
        <f ca="1">SUM(P24:P91)</f>
        <v>806.26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D8BgoJjlJfQcmfP0zeZklzdezB2LkY5TXwaoLBPJHBMXv9BPLKIBHwroRmiGzjEZ38eBKKJR0ipPefdz8OpCpg==" saltValue="V8cEjeBApD7ZPkcg1QOxdQ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11" priority="7" operator="greaterThan">
      <formula>0</formula>
    </cfRule>
    <cfRule type="cellIs" dxfId="10" priority="8" operator="lessThan">
      <formula>0</formula>
    </cfRule>
  </conditionalFormatting>
  <conditionalFormatting sqref="Q24:Q91 H25:H29">
    <cfRule type="cellIs" dxfId="9" priority="5" operator="lessThan">
      <formula>0</formula>
    </cfRule>
    <cfRule type="cellIs" dxfId="8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E150-E37A-4316-A073-8A6A495D1D57}">
  <dimension ref="A1:U94"/>
  <sheetViews>
    <sheetView topLeftCell="H3" zoomScale="68" zoomScaleNormal="68" zoomScaleSheetLayoutView="50" zoomScalePageLayoutView="80" workbookViewId="0">
      <selection activeCell="L7" sqref="L7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Novembre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8244.61</v>
      </c>
      <c r="C6" s="223"/>
      <c r="E6" s="224"/>
      <c r="F6" s="224"/>
      <c r="H6" s="138">
        <f ca="1">SUM(G25:G29)</f>
        <v>582.25</v>
      </c>
      <c r="I6" s="223"/>
      <c r="J6" s="224"/>
      <c r="K6" s="224"/>
      <c r="L6" s="249">
        <f ca="1">Octobre!B14</f>
        <v>12987.039999999999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14428.22</v>
      </c>
      <c r="C10" s="223"/>
      <c r="E10" s="224"/>
      <c r="F10" s="225"/>
      <c r="H10" s="137">
        <f ca="1">E24-SUM(E25:F29)</f>
        <v>1441.18</v>
      </c>
      <c r="I10" s="223"/>
      <c r="J10" s="224"/>
      <c r="K10" s="224"/>
      <c r="L10" s="139">
        <v>10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20649.400000000001</v>
      </c>
      <c r="C14" s="223"/>
      <c r="E14" s="224"/>
      <c r="F14" s="225"/>
      <c r="H14" s="137">
        <f ca="1">G30</f>
        <v>7662.3600000000006</v>
      </c>
      <c r="I14" s="223"/>
      <c r="J14" s="224"/>
      <c r="K14" s="224"/>
      <c r="L14" s="137">
        <f ca="1">L10+L6</f>
        <v>12997.039999999999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 ca="1">F92</f>
        <v>1441.18</v>
      </c>
      <c r="F24" s="245"/>
      <c r="G24" s="144">
        <f ca="1">E92</f>
        <v>8244.61</v>
      </c>
      <c r="H24" s="277">
        <f ca="1">G24-E24</f>
        <v>6803.43</v>
      </c>
      <c r="I24" s="278"/>
      <c r="J24" s="203"/>
      <c r="K24" s="203"/>
      <c r="L24" s="193" t="str" cm="1">
        <f t="array" aca="1" ref="L24:O28" ca="1" xml:space="preserve"> _xlfn._xlws.FILTER(_xlfn.CHOOSECOLS(Transaction[],2,1,3,7),(Transaction[Année]=$B$2)*(Transaction[MOIS]=$B$3)*(Transaction[Dépense/Revenue]=L22),"")</f>
        <v>ASSURANCE AUTO</v>
      </c>
      <c r="M24" s="194">
        <f ca="1"/>
        <v>46356</v>
      </c>
      <c r="N24" s="195" t="str">
        <f ca="1"/>
        <v>Prélèvement assurance automobile</v>
      </c>
      <c r="O24" s="238">
        <f ca="1"/>
        <v>79.150000000000006</v>
      </c>
      <c r="P24" s="107">
        <f ca="1">O24</f>
        <v>79.150000000000006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582.25</v>
      </c>
      <c r="H25" s="277">
        <f ca="1">G25-E25</f>
        <v>582.25</v>
      </c>
      <c r="I25" s="278"/>
      <c r="J25" s="203"/>
      <c r="K25" s="203"/>
      <c r="L25" s="182" t="str">
        <f ca="1"/>
        <v>STATION ESSENCE</v>
      </c>
      <c r="M25" s="186">
        <f ca="1"/>
        <v>46353</v>
      </c>
      <c r="N25" s="183" t="str">
        <f ca="1"/>
        <v>Station Total - carburant</v>
      </c>
      <c r="O25" s="202">
        <f ca="1"/>
        <v>80.88</v>
      </c>
      <c r="P25" s="107">
        <f ca="1">O25</f>
        <v>80.88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COURSES</v>
      </c>
      <c r="M26" s="186">
        <f ca="1"/>
        <v>46348</v>
      </c>
      <c r="N26" s="183" t="str">
        <f ca="1"/>
        <v>Courses alimentaires Carrefour</v>
      </c>
      <c r="O26" s="202">
        <f ca="1"/>
        <v>104.73</v>
      </c>
      <c r="P26" s="107">
        <f t="shared" ref="P26:P91" ca="1" si="1">O26</f>
        <v>104.73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LOYER</v>
      </c>
      <c r="M27" s="186">
        <f ca="1"/>
        <v>46352</v>
      </c>
      <c r="N27" s="183" t="str">
        <f ca="1"/>
        <v>Paiement loyer mensuel</v>
      </c>
      <c r="O27" s="202">
        <f ca="1"/>
        <v>149.75</v>
      </c>
      <c r="P27" s="107">
        <f t="shared" ca="1" si="1"/>
        <v>149.75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COMMISSION</v>
      </c>
      <c r="M28" s="186">
        <f ca="1"/>
        <v>46333</v>
      </c>
      <c r="N28" s="183" t="str">
        <f ca="1"/>
        <v>Commission de mouvement</v>
      </c>
      <c r="O28" s="202">
        <f ca="1"/>
        <v>167.74</v>
      </c>
      <c r="P28" s="107">
        <f t="shared" ca="1" si="1"/>
        <v>167.74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/>
      <c r="M29" s="186"/>
      <c r="N29" s="183"/>
      <c r="O29" s="202"/>
      <c r="P29" s="107">
        <f t="shared" si="1"/>
        <v>0</v>
      </c>
      <c r="Q29" s="192">
        <f t="shared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 ca="1">E24-SUM(E25:F29)</f>
        <v>1441.18</v>
      </c>
      <c r="F30" s="146"/>
      <c r="G30" s="147">
        <f ca="1">G24-SUM(G25:G29)</f>
        <v>7662.3600000000006</v>
      </c>
      <c r="H30" s="281">
        <f ca="1">H24-SUM(H25:I29)</f>
        <v>6221.18</v>
      </c>
      <c r="I30" s="282"/>
      <c r="J30" s="203"/>
      <c r="K30" s="203"/>
      <c r="L30" s="182"/>
      <c r="M30" s="186"/>
      <c r="N30" s="183"/>
      <c r="O30" s="202"/>
      <c r="P30" s="107">
        <f t="shared" si="1"/>
        <v>0</v>
      </c>
      <c r="Q30" s="192">
        <f t="shared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/>
      <c r="M31" s="186"/>
      <c r="N31" s="183"/>
      <c r="O31" s="202"/>
      <c r="P31" s="107">
        <f t="shared" si="1"/>
        <v>0</v>
      </c>
      <c r="Q31" s="192">
        <f t="shared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/>
      <c r="M32" s="186"/>
      <c r="N32" s="183"/>
      <c r="O32" s="202"/>
      <c r="P32" s="107">
        <f t="shared" si="1"/>
        <v>0</v>
      </c>
      <c r="Q32" s="192">
        <f t="shared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42" ca="1" xml:space="preserve"> _xlfn._xlws.FILTER(_xlfn.CHOOSECOLS(Transaction[],2,1,3,7),(Transaction[Année]=$B$2)*(Transaction[MOIS]=$B$3)*(Transaction[Dépense/Revenue]=B37),"")</f>
        <v>TRANSPORT</v>
      </c>
      <c r="C39" s="197">
        <f ca="1"/>
        <v>46332</v>
      </c>
      <c r="D39" s="198" t="str">
        <f ca="1"/>
        <v>Abonnement transports RATP</v>
      </c>
      <c r="E39" s="199">
        <f ca="1"/>
        <v>2836.06</v>
      </c>
      <c r="F39" s="148">
        <f>0</f>
        <v>0</v>
      </c>
      <c r="G39" s="148"/>
      <c r="H39" s="149">
        <f t="shared" ref="H39:H92" ca="1" si="2">E39-F39</f>
        <v>2836.06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 t="str">
        <f ca="1"/>
        <v>VIREMENT EMIS</v>
      </c>
      <c r="C40" s="143">
        <f ca="1"/>
        <v>46331</v>
      </c>
      <c r="D40" s="142" t="str">
        <f ca="1"/>
        <v>Virement émis vers compte épargne</v>
      </c>
      <c r="E40" s="148">
        <f ca="1"/>
        <v>2337.38</v>
      </c>
      <c r="F40" s="148">
        <v>0</v>
      </c>
      <c r="G40" s="148"/>
      <c r="H40" s="149">
        <f t="shared" ca="1" si="2"/>
        <v>2337.38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 t="str">
        <f ca="1"/>
        <v>PAIEMENT GOOGLE</v>
      </c>
      <c r="C41" s="143">
        <f ca="1"/>
        <v>46330</v>
      </c>
      <c r="D41" s="142" t="str">
        <f ca="1"/>
        <v>Paiement Google Play Store</v>
      </c>
      <c r="E41" s="148">
        <f ca="1"/>
        <v>1629.99</v>
      </c>
      <c r="F41" s="148">
        <v>0</v>
      </c>
      <c r="G41" s="148"/>
      <c r="H41" s="149">
        <f t="shared" ca="1" si="2"/>
        <v>1629.99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 t="str">
        <f ca="1"/>
        <v>LOYER</v>
      </c>
      <c r="C42" s="143">
        <f ca="1"/>
        <v>46350</v>
      </c>
      <c r="D42" s="142" t="str">
        <f ca="1"/>
        <v>Paiement loyer mensuel</v>
      </c>
      <c r="E42" s="148">
        <f ca="1"/>
        <v>1441.18</v>
      </c>
      <c r="F42" s="148">
        <f t="shared" ref="F42:F91" ca="1" si="3">E42</f>
        <v>1441.18</v>
      </c>
      <c r="G42" s="148"/>
      <c r="H42" s="149">
        <f t="shared" ca="1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8244.61</v>
      </c>
      <c r="F92" s="150">
        <f ca="1">SUM(F39:G91)</f>
        <v>1441.18</v>
      </c>
      <c r="G92" s="150"/>
      <c r="H92" s="151">
        <f t="shared" ca="1" si="2"/>
        <v>6803.43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582.25</v>
      </c>
      <c r="P92" s="153">
        <f ca="1">SUM(P24:P91)</f>
        <v>582.25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B7LsKUpxc0jXRtRdNn+uyUb7q/0uM7QWFkRL8/U0PWhYOQCwyFhkrbhcxb7EUpV46j5PRMuysB0DVbh3c95jZA==" saltValue="a1OypHvgx3RqZxDXU5KSWg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Q24:Q91 H25:H29">
    <cfRule type="cellIs" dxfId="5" priority="5" operator="lessThan">
      <formula>0</formula>
    </cfRule>
    <cfRule type="cellIs" dxfId="4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A41E-CA85-4044-8D1F-468387231DB4}">
  <dimension ref="A1:U94"/>
  <sheetViews>
    <sheetView topLeftCell="A3" zoomScale="68" zoomScaleNormal="68" zoomScaleSheetLayoutView="50" zoomScalePageLayoutView="80" workbookViewId="0">
      <selection activeCell="L11" sqref="L11"/>
    </sheetView>
  </sheetViews>
  <sheetFormatPr baseColWidth="10" defaultColWidth="10.7109375" defaultRowHeight="15" x14ac:dyDescent="0.25"/>
  <cols>
    <col min="1" max="1" width="10.7109375" style="206"/>
    <col min="2" max="2" width="80.7109375" style="206" bestFit="1" customWidth="1"/>
    <col min="3" max="3" width="25.42578125" style="206" bestFit="1" customWidth="1"/>
    <col min="4" max="4" width="185.140625" style="206" customWidth="1"/>
    <col min="5" max="5" width="27" style="206" bestFit="1" customWidth="1"/>
    <col min="6" max="6" width="26" style="206" bestFit="1" customWidth="1"/>
    <col min="7" max="7" width="25.85546875" style="206" bestFit="1" customWidth="1"/>
    <col min="8" max="8" width="121.7109375" style="206" bestFit="1" customWidth="1"/>
    <col min="9" max="9" width="26.28515625" style="206" bestFit="1" customWidth="1"/>
    <col min="10" max="11" width="10.7109375" style="206"/>
    <col min="12" max="12" width="96.42578125" style="206" bestFit="1" customWidth="1"/>
    <col min="13" max="13" width="24.140625" style="210" customWidth="1"/>
    <col min="14" max="14" width="188.42578125" style="206" bestFit="1" customWidth="1"/>
    <col min="15" max="15" width="23" style="233" bestFit="1" customWidth="1"/>
    <col min="16" max="17" width="20.28515625" style="206" bestFit="1" customWidth="1"/>
    <col min="18" max="16384" width="10.7109375" style="206"/>
  </cols>
  <sheetData>
    <row r="1" spans="2:19" ht="65.25" customHeight="1" thickBot="1" x14ac:dyDescent="0.3">
      <c r="B1" s="254" t="s">
        <v>29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32"/>
    </row>
    <row r="2" spans="2:19" ht="64.5" thickBot="1" x14ac:dyDescent="0.3">
      <c r="B2" s="254">
        <f>'TABLEAU ANNUEL'!B2</f>
        <v>2026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6"/>
    </row>
    <row r="3" spans="2:19" ht="47.25" thickBot="1" x14ac:dyDescent="0.75">
      <c r="B3" s="283" t="str" cm="1">
        <f t="array" aca="1" ref="B3" ca="1">_xlfn.TEXTAFTER(CELL("nomfichier",B3),"x]")</f>
        <v>Décembre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  <c r="N3" s="231"/>
    </row>
    <row r="4" spans="2:19" ht="16.5" thickBot="1" x14ac:dyDescent="0.3">
      <c r="B4" s="222"/>
      <c r="C4" s="222"/>
      <c r="D4" s="222"/>
      <c r="E4" s="222"/>
      <c r="F4" s="222" t="str">
        <f>UPPER(F23)</f>
        <v/>
      </c>
      <c r="G4" s="222"/>
      <c r="H4" s="222"/>
      <c r="I4" s="222"/>
      <c r="J4" s="222"/>
      <c r="K4" s="222"/>
      <c r="L4" s="222"/>
      <c r="M4" s="221"/>
      <c r="N4" s="222"/>
      <c r="O4" s="234"/>
      <c r="P4" s="222"/>
      <c r="Q4" s="222"/>
      <c r="R4" s="222"/>
      <c r="S4" s="222"/>
    </row>
    <row r="5" spans="2:19" ht="28.5" x14ac:dyDescent="0.45">
      <c r="B5" s="140" t="s">
        <v>37</v>
      </c>
      <c r="C5" s="227"/>
      <c r="E5" s="224"/>
      <c r="F5" s="224"/>
      <c r="H5" s="136" t="s">
        <v>96</v>
      </c>
      <c r="I5" s="226"/>
      <c r="J5" s="224"/>
      <c r="K5" s="224"/>
      <c r="L5" s="136" t="s">
        <v>30</v>
      </c>
      <c r="M5" s="230"/>
      <c r="N5" s="222"/>
      <c r="O5" s="234"/>
      <c r="P5" s="222"/>
      <c r="Q5" s="222"/>
      <c r="R5" s="222"/>
      <c r="S5" s="222"/>
    </row>
    <row r="6" spans="2:19" ht="48" customHeight="1" thickBot="1" x14ac:dyDescent="0.5">
      <c r="B6" s="138">
        <f ca="1">G24</f>
        <v>1351.22</v>
      </c>
      <c r="C6" s="223"/>
      <c r="E6" s="224"/>
      <c r="F6" s="224"/>
      <c r="H6" s="138">
        <f ca="1">SUM(G25:G29)</f>
        <v>846.3</v>
      </c>
      <c r="I6" s="223"/>
      <c r="J6" s="224"/>
      <c r="K6" s="224"/>
      <c r="L6" s="249">
        <f ca="1">Novembre!B14</f>
        <v>20649.400000000001</v>
      </c>
      <c r="M6" s="229"/>
      <c r="N6" s="222"/>
      <c r="O6" s="234"/>
      <c r="P6" s="222"/>
      <c r="Q6" s="222"/>
      <c r="R6" s="222"/>
      <c r="S6" s="222"/>
    </row>
    <row r="7" spans="2:19" ht="28.5" x14ac:dyDescent="0.45">
      <c r="B7" s="224"/>
      <c r="C7" s="224"/>
      <c r="E7" s="224"/>
      <c r="F7" s="224"/>
      <c r="H7" s="224"/>
      <c r="I7" s="224"/>
      <c r="J7" s="224"/>
      <c r="K7" s="224"/>
      <c r="L7" s="224"/>
      <c r="M7" s="228"/>
      <c r="N7" s="222"/>
      <c r="O7" s="234"/>
      <c r="P7" s="222"/>
      <c r="Q7" s="222"/>
      <c r="R7" s="222"/>
      <c r="S7" s="222"/>
    </row>
    <row r="8" spans="2:19" ht="29.25" thickBot="1" x14ac:dyDescent="0.5">
      <c r="B8" s="224"/>
      <c r="C8" s="224"/>
      <c r="E8" s="224"/>
      <c r="F8" s="224"/>
      <c r="H8" s="224"/>
      <c r="I8" s="224"/>
      <c r="J8" s="224"/>
      <c r="K8" s="224"/>
      <c r="L8" s="224"/>
      <c r="M8" s="228"/>
      <c r="N8" s="222"/>
      <c r="O8" s="234"/>
      <c r="P8" s="222"/>
      <c r="Q8" s="222"/>
      <c r="R8" s="222"/>
      <c r="S8" s="222"/>
    </row>
    <row r="9" spans="2:19" ht="28.5" x14ac:dyDescent="0.45">
      <c r="B9" s="140" t="s">
        <v>36</v>
      </c>
      <c r="C9" s="227"/>
      <c r="E9" s="224"/>
      <c r="F9" s="224"/>
      <c r="H9" s="136" t="s">
        <v>34</v>
      </c>
      <c r="I9" s="226"/>
      <c r="J9" s="224"/>
      <c r="K9" s="224"/>
      <c r="L9" s="136" t="s">
        <v>39</v>
      </c>
      <c r="M9" s="221"/>
      <c r="N9" s="222"/>
      <c r="O9" s="234"/>
      <c r="P9" s="222"/>
      <c r="Q9" s="222"/>
      <c r="R9" s="222"/>
    </row>
    <row r="10" spans="2:19" ht="42.75" customHeight="1" thickBot="1" x14ac:dyDescent="0.5">
      <c r="B10" s="141">
        <f ca="1">L6+H10</f>
        <v>20649.400000000001</v>
      </c>
      <c r="C10" s="223"/>
      <c r="E10" s="224"/>
      <c r="F10" s="225"/>
      <c r="H10" s="137">
        <f>E24-SUM(E25:F29)</f>
        <v>0</v>
      </c>
      <c r="I10" s="223"/>
      <c r="J10" s="224"/>
      <c r="K10" s="224"/>
      <c r="L10" s="139">
        <v>200</v>
      </c>
      <c r="M10" s="221"/>
      <c r="N10" s="222"/>
      <c r="O10" s="234"/>
      <c r="P10" s="222"/>
      <c r="Q10" s="222"/>
      <c r="R10" s="222"/>
      <c r="S10" s="222"/>
    </row>
    <row r="11" spans="2:19" ht="15.75" x14ac:dyDescent="0.25">
      <c r="B11" s="222"/>
      <c r="C11" s="222"/>
      <c r="E11" s="222"/>
      <c r="F11" s="222"/>
      <c r="H11" s="222"/>
      <c r="I11" s="222"/>
      <c r="J11" s="222"/>
      <c r="K11" s="222"/>
      <c r="L11" s="222"/>
      <c r="M11" s="221"/>
      <c r="N11" s="222"/>
      <c r="O11" s="234"/>
      <c r="P11" s="222"/>
      <c r="Q11" s="222"/>
      <c r="R11" s="222"/>
      <c r="S11" s="222"/>
    </row>
    <row r="12" spans="2:19" ht="15.75" thickBot="1" x14ac:dyDescent="0.3"/>
    <row r="13" spans="2:19" ht="28.5" x14ac:dyDescent="0.45">
      <c r="B13" s="140" t="s">
        <v>33</v>
      </c>
      <c r="C13" s="227"/>
      <c r="E13" s="224"/>
      <c r="F13" s="224"/>
      <c r="H13" s="136" t="s">
        <v>35</v>
      </c>
      <c r="I13" s="226"/>
      <c r="J13" s="224"/>
      <c r="K13" s="224"/>
      <c r="L13" s="136" t="s">
        <v>41</v>
      </c>
      <c r="M13" s="221"/>
      <c r="N13" s="222"/>
      <c r="O13" s="234"/>
      <c r="P13" s="222"/>
      <c r="Q13" s="222"/>
      <c r="R13" s="222"/>
    </row>
    <row r="14" spans="2:19" ht="42.75" customHeight="1" thickBot="1" x14ac:dyDescent="0.5">
      <c r="B14" s="141">
        <f ca="1">B6+L6-H6</f>
        <v>21154.320000000003</v>
      </c>
      <c r="C14" s="223"/>
      <c r="E14" s="224"/>
      <c r="F14" s="225"/>
      <c r="H14" s="137">
        <f ca="1">G30</f>
        <v>504.92000000000007</v>
      </c>
      <c r="I14" s="223"/>
      <c r="J14" s="224"/>
      <c r="K14" s="224"/>
      <c r="L14" s="137">
        <f ca="1">L10+L6</f>
        <v>20849.400000000001</v>
      </c>
      <c r="M14" s="221"/>
      <c r="N14" s="222"/>
      <c r="O14" s="234"/>
      <c r="P14" s="222"/>
      <c r="Q14" s="222"/>
      <c r="R14" s="222"/>
      <c r="S14" s="222"/>
    </row>
    <row r="21" spans="1:21" ht="27" thickBot="1" x14ac:dyDescent="0.4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4"/>
      <c r="N21" s="203"/>
      <c r="O21" s="235"/>
      <c r="P21" s="203"/>
      <c r="Q21" s="203"/>
      <c r="R21" s="203"/>
      <c r="S21" s="203"/>
      <c r="T21" s="203"/>
      <c r="U21" s="203"/>
    </row>
    <row r="22" spans="1:21" ht="26.25" x14ac:dyDescent="0.4">
      <c r="A22" s="203"/>
      <c r="B22" s="118" t="s">
        <v>18</v>
      </c>
      <c r="C22" s="119"/>
      <c r="D22" s="119"/>
      <c r="E22" s="119"/>
      <c r="F22" s="119"/>
      <c r="G22" s="119"/>
      <c r="H22" s="119"/>
      <c r="I22" s="120"/>
      <c r="J22" s="203"/>
      <c r="K22" s="203"/>
      <c r="L22" s="133" t="s">
        <v>87</v>
      </c>
      <c r="M22" s="178"/>
      <c r="N22" s="134"/>
      <c r="O22" s="236"/>
      <c r="P22" s="134"/>
      <c r="Q22" s="135"/>
      <c r="R22" s="220"/>
      <c r="S22" s="203"/>
      <c r="T22" s="203"/>
      <c r="U22" s="203"/>
    </row>
    <row r="23" spans="1:21" ht="26.25" x14ac:dyDescent="0.4">
      <c r="A23" s="203"/>
      <c r="B23" s="127" t="s">
        <v>19</v>
      </c>
      <c r="C23" s="126"/>
      <c r="D23" s="126"/>
      <c r="E23" s="247" t="s">
        <v>20</v>
      </c>
      <c r="F23" s="247"/>
      <c r="G23" s="108" t="s">
        <v>21</v>
      </c>
      <c r="H23" s="286" t="s">
        <v>27</v>
      </c>
      <c r="I23" s="287"/>
      <c r="J23" s="203"/>
      <c r="K23" s="203"/>
      <c r="L23" s="127" t="s">
        <v>19</v>
      </c>
      <c r="M23" s="179" t="s">
        <v>82</v>
      </c>
      <c r="N23" s="126" t="s">
        <v>81</v>
      </c>
      <c r="O23" s="237" t="s">
        <v>21</v>
      </c>
      <c r="P23" s="126" t="s">
        <v>20</v>
      </c>
      <c r="Q23" s="128" t="s">
        <v>27</v>
      </c>
      <c r="R23" s="215"/>
      <c r="S23" s="203"/>
      <c r="T23" s="203"/>
      <c r="U23" s="203"/>
    </row>
    <row r="24" spans="1:21" ht="28.5" x14ac:dyDescent="0.45">
      <c r="A24" s="203"/>
      <c r="B24" s="131" t="s">
        <v>2</v>
      </c>
      <c r="C24" s="132"/>
      <c r="D24" s="132"/>
      <c r="E24" s="245">
        <f>F92</f>
        <v>0</v>
      </c>
      <c r="F24" s="245"/>
      <c r="G24" s="144">
        <f ca="1">E92</f>
        <v>1351.22</v>
      </c>
      <c r="H24" s="277">
        <f ca="1">G24-E24</f>
        <v>1351.22</v>
      </c>
      <c r="I24" s="278"/>
      <c r="J24" s="203"/>
      <c r="K24" s="203"/>
      <c r="L24" s="193" t="str" cm="1">
        <f t="array" aca="1" ref="L24:O32" ca="1" xml:space="preserve"> _xlfn._xlws.FILTER(_xlfn.CHOOSECOLS(Transaction[],2,1,3,7),(Transaction[Année]=$B$2)*(Transaction[MOIS]=$B$3)*(Transaction[Dépense/Revenue]=L22),"")</f>
        <v>ABONNEMENT NETFLIX</v>
      </c>
      <c r="M24" s="194">
        <f ca="1"/>
        <v>46371</v>
      </c>
      <c r="N24" s="195" t="str">
        <f ca="1"/>
        <v>Abonnement Netflix mensuel</v>
      </c>
      <c r="O24" s="238">
        <f ca="1"/>
        <v>6.21</v>
      </c>
      <c r="P24" s="107">
        <f ca="1">O24</f>
        <v>6.21</v>
      </c>
      <c r="Q24" s="192">
        <f ca="1">P24-O24</f>
        <v>0</v>
      </c>
      <c r="R24" s="211"/>
      <c r="S24" s="203"/>
      <c r="T24" s="203"/>
      <c r="U24" s="203"/>
    </row>
    <row r="25" spans="1:21" ht="28.5" x14ac:dyDescent="0.45">
      <c r="A25" s="203"/>
      <c r="B25" s="131" t="s">
        <v>88</v>
      </c>
      <c r="C25" s="132"/>
      <c r="D25" s="132"/>
      <c r="E25" s="245">
        <f>P91</f>
        <v>0</v>
      </c>
      <c r="F25" s="245"/>
      <c r="G25" s="144">
        <f ca="1">O92</f>
        <v>846.3</v>
      </c>
      <c r="H25" s="277">
        <f ca="1">G25-E25</f>
        <v>846.3</v>
      </c>
      <c r="I25" s="278"/>
      <c r="J25" s="203"/>
      <c r="K25" s="203"/>
      <c r="L25" s="182" t="str">
        <f ca="1"/>
        <v>CB SUPERMARCHE</v>
      </c>
      <c r="M25" s="186">
        <f ca="1"/>
        <v>46362</v>
      </c>
      <c r="N25" s="183" t="str">
        <f ca="1"/>
        <v>Paiement carte supermarché Leclerc</v>
      </c>
      <c r="O25" s="202">
        <f ca="1"/>
        <v>14.81</v>
      </c>
      <c r="P25" s="107">
        <f ca="1">O25</f>
        <v>14.81</v>
      </c>
      <c r="Q25" s="192">
        <f t="shared" ref="Q25:Q91" ca="1" si="0">P25-O25</f>
        <v>0</v>
      </c>
      <c r="R25" s="211"/>
      <c r="S25" s="203"/>
      <c r="T25" s="203"/>
      <c r="U25" s="203"/>
    </row>
    <row r="26" spans="1:21" ht="28.5" x14ac:dyDescent="0.45">
      <c r="A26" s="203"/>
      <c r="B26" s="131"/>
      <c r="C26" s="132"/>
      <c r="D26" s="132"/>
      <c r="E26" s="245"/>
      <c r="F26" s="245"/>
      <c r="G26" s="144"/>
      <c r="H26" s="277"/>
      <c r="I26" s="278"/>
      <c r="J26" s="203"/>
      <c r="K26" s="203"/>
      <c r="L26" s="182" t="str">
        <f ca="1"/>
        <v>TRANSPORT</v>
      </c>
      <c r="M26" s="186">
        <f ca="1"/>
        <v>46368</v>
      </c>
      <c r="N26" s="183" t="str">
        <f ca="1"/>
        <v>Abonnement transports RATP</v>
      </c>
      <c r="O26" s="202">
        <f ca="1"/>
        <v>67.66</v>
      </c>
      <c r="P26" s="107">
        <f t="shared" ref="P26:P91" ca="1" si="1">O26</f>
        <v>67.66</v>
      </c>
      <c r="Q26" s="192">
        <f t="shared" ca="1" si="0"/>
        <v>0</v>
      </c>
      <c r="R26" s="211"/>
      <c r="S26" s="203"/>
      <c r="T26" s="203"/>
      <c r="U26" s="203"/>
    </row>
    <row r="27" spans="1:21" ht="28.5" x14ac:dyDescent="0.45">
      <c r="A27" s="203"/>
      <c r="B27" s="131"/>
      <c r="C27" s="132"/>
      <c r="D27" s="132"/>
      <c r="E27" s="245"/>
      <c r="F27" s="245"/>
      <c r="G27" s="144"/>
      <c r="H27" s="277"/>
      <c r="I27" s="278"/>
      <c r="J27" s="203"/>
      <c r="K27" s="203"/>
      <c r="L27" s="182" t="str">
        <f ca="1"/>
        <v>FACTURE TELEPHONE</v>
      </c>
      <c r="M27" s="186">
        <f ca="1"/>
        <v>46364</v>
      </c>
      <c r="N27" s="183" t="str">
        <f ca="1"/>
        <v>Paiement facture téléphonique SFR</v>
      </c>
      <c r="O27" s="202">
        <f ca="1"/>
        <v>96.01</v>
      </c>
      <c r="P27" s="107">
        <f t="shared" ca="1" si="1"/>
        <v>96.01</v>
      </c>
      <c r="Q27" s="192">
        <f t="shared" ca="1" si="0"/>
        <v>0</v>
      </c>
      <c r="R27" s="211"/>
      <c r="S27" s="203"/>
      <c r="T27" s="203"/>
      <c r="U27" s="203"/>
    </row>
    <row r="28" spans="1:21" ht="28.5" x14ac:dyDescent="0.45">
      <c r="A28" s="203"/>
      <c r="B28" s="131"/>
      <c r="C28" s="132"/>
      <c r="D28" s="132"/>
      <c r="E28" s="245"/>
      <c r="F28" s="245"/>
      <c r="G28" s="144"/>
      <c r="H28" s="277"/>
      <c r="I28" s="278"/>
      <c r="J28" s="203"/>
      <c r="K28" s="203"/>
      <c r="L28" s="182" t="str">
        <f ca="1"/>
        <v>VIREMENT EMIS</v>
      </c>
      <c r="M28" s="186">
        <f ca="1"/>
        <v>46383</v>
      </c>
      <c r="N28" s="183" t="str">
        <f ca="1"/>
        <v>Virement émis vers compte épargne</v>
      </c>
      <c r="O28" s="202">
        <f ca="1"/>
        <v>103.35</v>
      </c>
      <c r="P28" s="107">
        <f t="shared" ca="1" si="1"/>
        <v>103.35</v>
      </c>
      <c r="Q28" s="192">
        <f t="shared" ca="1" si="0"/>
        <v>0</v>
      </c>
      <c r="R28" s="211"/>
      <c r="S28" s="203"/>
      <c r="T28" s="203"/>
      <c r="U28" s="203"/>
    </row>
    <row r="29" spans="1:21" ht="29.25" thickBot="1" x14ac:dyDescent="0.5">
      <c r="A29" s="203"/>
      <c r="B29" s="129"/>
      <c r="C29" s="130"/>
      <c r="D29" s="130"/>
      <c r="E29" s="246"/>
      <c r="F29" s="246"/>
      <c r="G29" s="145"/>
      <c r="H29" s="279"/>
      <c r="I29" s="280"/>
      <c r="J29" s="203"/>
      <c r="K29" s="203"/>
      <c r="L29" s="182" t="str">
        <f ca="1"/>
        <v>TRANSPORT</v>
      </c>
      <c r="M29" s="186">
        <f ca="1"/>
        <v>46377</v>
      </c>
      <c r="N29" s="183" t="str">
        <f ca="1"/>
        <v>Abonnement transports RATP</v>
      </c>
      <c r="O29" s="202">
        <f ca="1"/>
        <v>109.51</v>
      </c>
      <c r="P29" s="107">
        <f t="shared" ca="1" si="1"/>
        <v>109.51</v>
      </c>
      <c r="Q29" s="192">
        <f t="shared" ca="1" si="0"/>
        <v>0</v>
      </c>
      <c r="R29" s="211"/>
      <c r="S29" s="203"/>
      <c r="T29" s="203"/>
      <c r="U29" s="203"/>
    </row>
    <row r="30" spans="1:21" ht="29.25" thickBot="1" x14ac:dyDescent="0.5">
      <c r="A30" s="203"/>
      <c r="B30" s="121" t="s">
        <v>22</v>
      </c>
      <c r="C30" s="122"/>
      <c r="D30" s="122"/>
      <c r="E30" s="146">
        <f>E24-SUM(E25:F29)</f>
        <v>0</v>
      </c>
      <c r="F30" s="146"/>
      <c r="G30" s="147">
        <f ca="1">G24-SUM(G25:G29)</f>
        <v>504.92000000000007</v>
      </c>
      <c r="H30" s="281">
        <f ca="1">H24-SUM(H25:I29)</f>
        <v>504.92000000000007</v>
      </c>
      <c r="I30" s="282"/>
      <c r="J30" s="203"/>
      <c r="K30" s="203"/>
      <c r="L30" s="182" t="str">
        <f ca="1"/>
        <v>REMUNERATION</v>
      </c>
      <c r="M30" s="186">
        <f ca="1"/>
        <v>46361</v>
      </c>
      <c r="N30" s="183" t="str">
        <f ca="1"/>
        <v>Salaire - Société ABC</v>
      </c>
      <c r="O30" s="202">
        <f ca="1"/>
        <v>143.91999999999999</v>
      </c>
      <c r="P30" s="107">
        <f t="shared" ca="1" si="1"/>
        <v>143.91999999999999</v>
      </c>
      <c r="Q30" s="192">
        <f t="shared" ca="1" si="0"/>
        <v>0</v>
      </c>
      <c r="R30" s="211"/>
      <c r="S30" s="203"/>
      <c r="T30" s="203"/>
      <c r="U30" s="203"/>
    </row>
    <row r="31" spans="1:21" ht="26.25" x14ac:dyDescent="0.4">
      <c r="A31" s="203"/>
      <c r="B31" s="216"/>
      <c r="C31" s="216"/>
      <c r="D31" s="216"/>
      <c r="E31" s="217"/>
      <c r="F31" s="217"/>
      <c r="G31" s="218"/>
      <c r="H31" s="219"/>
      <c r="I31" s="219"/>
      <c r="J31" s="203"/>
      <c r="K31" s="203"/>
      <c r="L31" s="182" t="str">
        <f ca="1"/>
        <v>CB SUPERMARCHE</v>
      </c>
      <c r="M31" s="186">
        <f ca="1"/>
        <v>46379</v>
      </c>
      <c r="N31" s="183" t="str">
        <f ca="1"/>
        <v>Paiement carte supermarché Leclerc</v>
      </c>
      <c r="O31" s="202">
        <f ca="1"/>
        <v>150.38</v>
      </c>
      <c r="P31" s="107">
        <f t="shared" ca="1" si="1"/>
        <v>150.38</v>
      </c>
      <c r="Q31" s="192">
        <f t="shared" ca="1" si="0"/>
        <v>0</v>
      </c>
      <c r="R31" s="211"/>
      <c r="S31" s="203"/>
      <c r="T31" s="203"/>
      <c r="U31" s="203"/>
    </row>
    <row r="32" spans="1:21" ht="26.25" x14ac:dyDescent="0.4">
      <c r="A32" s="203"/>
      <c r="B32" s="216"/>
      <c r="C32" s="216"/>
      <c r="D32" s="216"/>
      <c r="E32" s="217"/>
      <c r="F32" s="217"/>
      <c r="G32" s="218"/>
      <c r="H32" s="219"/>
      <c r="I32" s="219"/>
      <c r="J32" s="203"/>
      <c r="K32" s="203"/>
      <c r="L32" s="182" t="str">
        <f ca="1"/>
        <v>RESTAURANT</v>
      </c>
      <c r="M32" s="186">
        <f ca="1"/>
        <v>46386</v>
      </c>
      <c r="N32" s="183" t="str">
        <f ca="1"/>
        <v>Restaurant Le Bistro Parisien</v>
      </c>
      <c r="O32" s="202">
        <f ca="1"/>
        <v>154.44999999999999</v>
      </c>
      <c r="P32" s="107">
        <f t="shared" ca="1" si="1"/>
        <v>154.44999999999999</v>
      </c>
      <c r="Q32" s="192">
        <f t="shared" ca="1" si="0"/>
        <v>0</v>
      </c>
      <c r="R32" s="211"/>
      <c r="S32" s="203"/>
      <c r="T32" s="203"/>
      <c r="U32" s="203"/>
    </row>
    <row r="33" spans="1:21" ht="26.25" x14ac:dyDescent="0.4">
      <c r="A33" s="203"/>
      <c r="B33" s="216"/>
      <c r="C33" s="216"/>
      <c r="D33" s="216"/>
      <c r="E33" s="217"/>
      <c r="F33" s="217"/>
      <c r="G33" s="218"/>
      <c r="H33" s="219"/>
      <c r="I33" s="219"/>
      <c r="J33" s="203"/>
      <c r="K33" s="203"/>
      <c r="L33" s="182"/>
      <c r="M33" s="186"/>
      <c r="N33" s="183"/>
      <c r="O33" s="202"/>
      <c r="P33" s="107">
        <f t="shared" si="1"/>
        <v>0</v>
      </c>
      <c r="Q33" s="192">
        <f t="shared" si="0"/>
        <v>0</v>
      </c>
      <c r="R33" s="211"/>
      <c r="S33" s="203"/>
      <c r="T33" s="203"/>
      <c r="U33" s="203"/>
    </row>
    <row r="34" spans="1:21" ht="26.25" x14ac:dyDescent="0.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182"/>
      <c r="M34" s="186"/>
      <c r="N34" s="183"/>
      <c r="O34" s="202"/>
      <c r="P34" s="107">
        <f t="shared" si="1"/>
        <v>0</v>
      </c>
      <c r="Q34" s="192">
        <f t="shared" si="0"/>
        <v>0</v>
      </c>
      <c r="R34" s="211"/>
      <c r="S34" s="203"/>
      <c r="T34" s="203"/>
      <c r="U34" s="203"/>
    </row>
    <row r="35" spans="1:21" ht="26.25" x14ac:dyDescent="0.4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182"/>
      <c r="M35" s="186"/>
      <c r="N35" s="183"/>
      <c r="O35" s="202"/>
      <c r="P35" s="107">
        <f t="shared" si="1"/>
        <v>0</v>
      </c>
      <c r="Q35" s="192">
        <f t="shared" si="0"/>
        <v>0</v>
      </c>
      <c r="R35" s="211"/>
      <c r="S35" s="203"/>
      <c r="T35" s="203"/>
      <c r="U35" s="203"/>
    </row>
    <row r="36" spans="1:21" ht="27" thickBot="1" x14ac:dyDescent="0.45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182"/>
      <c r="M36" s="186"/>
      <c r="N36" s="183"/>
      <c r="O36" s="202"/>
      <c r="P36" s="107">
        <f t="shared" si="1"/>
        <v>0</v>
      </c>
      <c r="Q36" s="192">
        <f t="shared" si="0"/>
        <v>0</v>
      </c>
      <c r="R36" s="211"/>
      <c r="S36" s="203"/>
      <c r="T36" s="203"/>
      <c r="U36" s="203"/>
    </row>
    <row r="37" spans="1:21" ht="26.25" customHeight="1" x14ac:dyDescent="0.4">
      <c r="A37" s="203"/>
      <c r="B37" s="110" t="s">
        <v>86</v>
      </c>
      <c r="C37" s="112"/>
      <c r="D37" s="112"/>
      <c r="E37" s="112"/>
      <c r="F37" s="112"/>
      <c r="G37" s="112"/>
      <c r="H37" s="112"/>
      <c r="I37" s="111"/>
      <c r="J37" s="203"/>
      <c r="K37" s="203"/>
      <c r="L37" s="182"/>
      <c r="M37" s="186"/>
      <c r="N37" s="183"/>
      <c r="O37" s="202"/>
      <c r="P37" s="107">
        <f t="shared" si="1"/>
        <v>0</v>
      </c>
      <c r="Q37" s="192">
        <f t="shared" si="0"/>
        <v>0</v>
      </c>
      <c r="R37" s="211"/>
      <c r="S37" s="203"/>
      <c r="T37" s="203"/>
      <c r="U37" s="203"/>
    </row>
    <row r="38" spans="1:21" ht="26.25" x14ac:dyDescent="0.4">
      <c r="A38" s="203"/>
      <c r="B38" s="127" t="s">
        <v>23</v>
      </c>
      <c r="C38" s="126" t="s">
        <v>82</v>
      </c>
      <c r="D38" s="126" t="s">
        <v>81</v>
      </c>
      <c r="E38" s="126" t="s">
        <v>21</v>
      </c>
      <c r="F38" s="126" t="s">
        <v>20</v>
      </c>
      <c r="G38" s="126"/>
      <c r="H38" s="126" t="s">
        <v>28</v>
      </c>
      <c r="I38" s="125" t="s">
        <v>24</v>
      </c>
      <c r="J38" s="203"/>
      <c r="K38" s="203"/>
      <c r="L38" s="182"/>
      <c r="M38" s="186"/>
      <c r="N38" s="183"/>
      <c r="O38" s="202"/>
      <c r="P38" s="107">
        <f t="shared" si="1"/>
        <v>0</v>
      </c>
      <c r="Q38" s="192">
        <f t="shared" si="0"/>
        <v>0</v>
      </c>
      <c r="R38" s="211"/>
      <c r="S38" s="203"/>
      <c r="T38" s="203"/>
      <c r="U38" s="203"/>
    </row>
    <row r="39" spans="1:21" ht="28.5" x14ac:dyDescent="0.45">
      <c r="A39" s="203"/>
      <c r="B39" s="196" t="str" cm="1">
        <f t="array" aca="1" ref="B39:E40" ca="1" xml:space="preserve"> _xlfn._xlws.FILTER(_xlfn.CHOOSECOLS(Transaction[],2,1,3,7),(Transaction[Année]=$B$2)*(Transaction[MOIS]=$B$3)*(Transaction[Dépense/Revenue]=B37),"")</f>
        <v>ACHAT AMAZON</v>
      </c>
      <c r="C39" s="197">
        <f ca="1"/>
        <v>46365</v>
      </c>
      <c r="D39" s="198" t="str">
        <f ca="1"/>
        <v>Achat sur Amazon.fr - électronique</v>
      </c>
      <c r="E39" s="199">
        <f ca="1"/>
        <v>914.19</v>
      </c>
      <c r="F39" s="148">
        <f>0</f>
        <v>0</v>
      </c>
      <c r="G39" s="148"/>
      <c r="H39" s="149">
        <f t="shared" ref="H39:H92" ca="1" si="2">E39-F39</f>
        <v>914.19</v>
      </c>
      <c r="I39" s="116"/>
      <c r="J39" s="203"/>
      <c r="K39" s="203"/>
      <c r="L39" s="187"/>
      <c r="M39" s="188"/>
      <c r="N39" s="189"/>
      <c r="O39" s="239"/>
      <c r="P39" s="107">
        <f t="shared" si="1"/>
        <v>0</v>
      </c>
      <c r="Q39" s="192">
        <f t="shared" si="0"/>
        <v>0</v>
      </c>
      <c r="R39" s="212"/>
      <c r="S39" s="203"/>
      <c r="T39" s="203"/>
      <c r="U39" s="203"/>
    </row>
    <row r="40" spans="1:21" ht="28.5" x14ac:dyDescent="0.45">
      <c r="A40" s="203"/>
      <c r="B40" s="124" t="str">
        <f ca="1"/>
        <v>REMBOURSEMENT PRET</v>
      </c>
      <c r="C40" s="143">
        <f ca="1"/>
        <v>46378</v>
      </c>
      <c r="D40" s="142" t="str">
        <f ca="1"/>
        <v>Remboursement prêt immobilier</v>
      </c>
      <c r="E40" s="148">
        <f ca="1"/>
        <v>437.03</v>
      </c>
      <c r="F40" s="148">
        <v>0</v>
      </c>
      <c r="G40" s="148"/>
      <c r="H40" s="149">
        <f t="shared" ca="1" si="2"/>
        <v>437.03</v>
      </c>
      <c r="I40" s="116"/>
      <c r="J40" s="203"/>
      <c r="K40" s="203"/>
      <c r="L40" s="182"/>
      <c r="M40" s="186"/>
      <c r="N40" s="106"/>
      <c r="O40" s="202"/>
      <c r="P40" s="107">
        <f t="shared" si="1"/>
        <v>0</v>
      </c>
      <c r="Q40" s="192">
        <f t="shared" si="0"/>
        <v>0</v>
      </c>
      <c r="R40" s="213"/>
      <c r="S40" s="203"/>
      <c r="T40" s="203"/>
      <c r="U40" s="203"/>
    </row>
    <row r="41" spans="1:21" ht="28.5" x14ac:dyDescent="0.45">
      <c r="A41" s="203"/>
      <c r="B41" s="124"/>
      <c r="C41" s="143"/>
      <c r="D41" s="142"/>
      <c r="E41" s="148"/>
      <c r="F41" s="148">
        <v>0</v>
      </c>
      <c r="G41" s="148"/>
      <c r="H41" s="149">
        <f t="shared" si="2"/>
        <v>0</v>
      </c>
      <c r="I41" s="116"/>
      <c r="J41" s="203"/>
      <c r="K41" s="203"/>
      <c r="L41" s="187"/>
      <c r="M41" s="188"/>
      <c r="N41" s="190"/>
      <c r="O41" s="240"/>
      <c r="P41" s="107">
        <f t="shared" si="1"/>
        <v>0</v>
      </c>
      <c r="Q41" s="192">
        <f t="shared" si="0"/>
        <v>0</v>
      </c>
      <c r="R41" s="214"/>
      <c r="S41" s="203"/>
      <c r="T41" s="203"/>
      <c r="U41" s="203"/>
    </row>
    <row r="42" spans="1:21" ht="28.5" x14ac:dyDescent="0.45">
      <c r="A42" s="203"/>
      <c r="B42" s="124"/>
      <c r="C42" s="143"/>
      <c r="D42" s="142"/>
      <c r="E42" s="148"/>
      <c r="F42" s="148">
        <f t="shared" ref="F42:F91" si="3">E42</f>
        <v>0</v>
      </c>
      <c r="G42" s="148"/>
      <c r="H42" s="149">
        <f t="shared" si="2"/>
        <v>0</v>
      </c>
      <c r="I42" s="116"/>
      <c r="J42" s="203"/>
      <c r="K42" s="203"/>
      <c r="L42" s="184"/>
      <c r="M42" s="191"/>
      <c r="N42" s="185"/>
      <c r="O42" s="241"/>
      <c r="P42" s="107">
        <f t="shared" si="1"/>
        <v>0</v>
      </c>
      <c r="Q42" s="192">
        <f t="shared" si="0"/>
        <v>0</v>
      </c>
      <c r="R42" s="215"/>
      <c r="S42" s="203"/>
      <c r="T42" s="203"/>
      <c r="U42" s="203"/>
    </row>
    <row r="43" spans="1:21" ht="28.5" x14ac:dyDescent="0.45">
      <c r="A43" s="203"/>
      <c r="B43" s="124"/>
      <c r="C43" s="143"/>
      <c r="D43" s="142"/>
      <c r="E43" s="148"/>
      <c r="F43" s="148">
        <f t="shared" si="3"/>
        <v>0</v>
      </c>
      <c r="G43" s="148"/>
      <c r="H43" s="149">
        <f t="shared" si="2"/>
        <v>0</v>
      </c>
      <c r="I43" s="116"/>
      <c r="J43" s="203"/>
      <c r="K43" s="203"/>
      <c r="L43" s="182"/>
      <c r="M43" s="186"/>
      <c r="N43" s="183"/>
      <c r="O43" s="202"/>
      <c r="P43" s="107">
        <f t="shared" si="1"/>
        <v>0</v>
      </c>
      <c r="Q43" s="192">
        <f t="shared" si="0"/>
        <v>0</v>
      </c>
      <c r="R43" s="211"/>
      <c r="S43" s="203"/>
      <c r="T43" s="203"/>
      <c r="U43" s="203"/>
    </row>
    <row r="44" spans="1:21" ht="28.5" x14ac:dyDescent="0.45">
      <c r="A44" s="203"/>
      <c r="B44" s="124"/>
      <c r="C44" s="143"/>
      <c r="D44" s="142"/>
      <c r="E44" s="148"/>
      <c r="F44" s="148">
        <f t="shared" si="3"/>
        <v>0</v>
      </c>
      <c r="G44" s="148"/>
      <c r="H44" s="149">
        <f t="shared" si="2"/>
        <v>0</v>
      </c>
      <c r="I44" s="116"/>
      <c r="J44" s="203"/>
      <c r="K44" s="203"/>
      <c r="L44" s="182"/>
      <c r="M44" s="186"/>
      <c r="N44" s="183"/>
      <c r="O44" s="202"/>
      <c r="P44" s="107">
        <f t="shared" si="1"/>
        <v>0</v>
      </c>
      <c r="Q44" s="192">
        <f t="shared" si="0"/>
        <v>0</v>
      </c>
      <c r="R44" s="211"/>
      <c r="S44" s="203"/>
      <c r="T44" s="203"/>
      <c r="U44" s="203"/>
    </row>
    <row r="45" spans="1:21" ht="28.5" x14ac:dyDescent="0.45">
      <c r="A45" s="203"/>
      <c r="B45" s="124"/>
      <c r="C45" s="143"/>
      <c r="D45" s="142"/>
      <c r="E45" s="148"/>
      <c r="F45" s="148">
        <f t="shared" si="3"/>
        <v>0</v>
      </c>
      <c r="G45" s="148"/>
      <c r="H45" s="149">
        <f t="shared" si="2"/>
        <v>0</v>
      </c>
      <c r="I45" s="116"/>
      <c r="J45" s="203"/>
      <c r="K45" s="203"/>
      <c r="L45" s="182"/>
      <c r="M45" s="186"/>
      <c r="N45" s="183"/>
      <c r="O45" s="202"/>
      <c r="P45" s="107">
        <f t="shared" si="1"/>
        <v>0</v>
      </c>
      <c r="Q45" s="192">
        <f t="shared" si="0"/>
        <v>0</v>
      </c>
      <c r="R45" s="211"/>
      <c r="S45" s="203"/>
      <c r="T45" s="203"/>
      <c r="U45" s="203"/>
    </row>
    <row r="46" spans="1:21" ht="28.5" x14ac:dyDescent="0.45">
      <c r="A46" s="203"/>
      <c r="B46" s="124"/>
      <c r="C46" s="143"/>
      <c r="D46" s="142"/>
      <c r="E46" s="148"/>
      <c r="F46" s="148">
        <f t="shared" si="3"/>
        <v>0</v>
      </c>
      <c r="G46" s="148"/>
      <c r="H46" s="149">
        <f t="shared" si="2"/>
        <v>0</v>
      </c>
      <c r="I46" s="116"/>
      <c r="J46" s="203"/>
      <c r="K46" s="203"/>
      <c r="L46" s="182"/>
      <c r="M46" s="186"/>
      <c r="N46" s="183"/>
      <c r="O46" s="202"/>
      <c r="P46" s="107">
        <f t="shared" si="1"/>
        <v>0</v>
      </c>
      <c r="Q46" s="192">
        <f t="shared" si="0"/>
        <v>0</v>
      </c>
      <c r="R46" s="211"/>
      <c r="S46" s="203"/>
      <c r="T46" s="203"/>
      <c r="U46" s="203"/>
    </row>
    <row r="47" spans="1:21" ht="28.5" x14ac:dyDescent="0.45">
      <c r="A47" s="203"/>
      <c r="B47" s="124"/>
      <c r="C47" s="143"/>
      <c r="D47" s="142"/>
      <c r="E47" s="148"/>
      <c r="F47" s="148">
        <f t="shared" si="3"/>
        <v>0</v>
      </c>
      <c r="G47" s="148"/>
      <c r="H47" s="149">
        <f t="shared" si="2"/>
        <v>0</v>
      </c>
      <c r="I47" s="116"/>
      <c r="J47" s="203"/>
      <c r="K47" s="203"/>
      <c r="L47" s="182"/>
      <c r="M47" s="186"/>
      <c r="N47" s="183"/>
      <c r="O47" s="202"/>
      <c r="P47" s="107">
        <f t="shared" si="1"/>
        <v>0</v>
      </c>
      <c r="Q47" s="192">
        <f t="shared" si="0"/>
        <v>0</v>
      </c>
      <c r="R47" s="211"/>
      <c r="S47" s="203"/>
      <c r="T47" s="203"/>
      <c r="U47" s="203"/>
    </row>
    <row r="48" spans="1:21" ht="28.5" x14ac:dyDescent="0.45">
      <c r="A48" s="203"/>
      <c r="B48" s="124"/>
      <c r="C48" s="143"/>
      <c r="D48" s="142"/>
      <c r="E48" s="148"/>
      <c r="F48" s="148">
        <f t="shared" si="3"/>
        <v>0</v>
      </c>
      <c r="G48" s="148"/>
      <c r="H48" s="149">
        <f t="shared" si="2"/>
        <v>0</v>
      </c>
      <c r="I48" s="116"/>
      <c r="J48" s="203"/>
      <c r="K48" s="203"/>
      <c r="L48" s="182"/>
      <c r="M48" s="186"/>
      <c r="N48" s="183"/>
      <c r="O48" s="202"/>
      <c r="P48" s="107">
        <f t="shared" si="1"/>
        <v>0</v>
      </c>
      <c r="Q48" s="192">
        <f t="shared" si="0"/>
        <v>0</v>
      </c>
      <c r="R48" s="211"/>
      <c r="S48" s="203"/>
      <c r="T48" s="203"/>
      <c r="U48" s="203"/>
    </row>
    <row r="49" spans="1:21" ht="28.5" x14ac:dyDescent="0.45">
      <c r="A49" s="203"/>
      <c r="B49" s="124"/>
      <c r="C49" s="143"/>
      <c r="D49" s="142"/>
      <c r="E49" s="148"/>
      <c r="F49" s="148">
        <f t="shared" si="3"/>
        <v>0</v>
      </c>
      <c r="G49" s="148"/>
      <c r="H49" s="149">
        <f t="shared" si="2"/>
        <v>0</v>
      </c>
      <c r="I49" s="116"/>
      <c r="J49" s="203"/>
      <c r="K49" s="203"/>
      <c r="L49" s="124"/>
      <c r="M49" s="143"/>
      <c r="N49" s="107"/>
      <c r="O49" s="200"/>
      <c r="P49" s="148">
        <f t="shared" si="1"/>
        <v>0</v>
      </c>
      <c r="Q49" s="152">
        <f t="shared" si="0"/>
        <v>0</v>
      </c>
      <c r="R49" s="211"/>
      <c r="S49" s="203"/>
      <c r="T49" s="203"/>
      <c r="U49" s="203"/>
    </row>
    <row r="50" spans="1:21" ht="28.5" x14ac:dyDescent="0.45">
      <c r="A50" s="203"/>
      <c r="B50" s="124"/>
      <c r="C50" s="143"/>
      <c r="D50" s="142"/>
      <c r="E50" s="148"/>
      <c r="F50" s="148">
        <f t="shared" si="3"/>
        <v>0</v>
      </c>
      <c r="G50" s="148"/>
      <c r="H50" s="149">
        <f t="shared" si="2"/>
        <v>0</v>
      </c>
      <c r="I50" s="116"/>
      <c r="J50" s="203"/>
      <c r="K50" s="203"/>
      <c r="L50" s="124"/>
      <c r="M50" s="143"/>
      <c r="N50" s="107"/>
      <c r="O50" s="200"/>
      <c r="P50" s="148">
        <f t="shared" si="1"/>
        <v>0</v>
      </c>
      <c r="Q50" s="152">
        <f t="shared" si="0"/>
        <v>0</v>
      </c>
      <c r="R50" s="211"/>
      <c r="S50" s="203"/>
      <c r="T50" s="203"/>
      <c r="U50" s="203"/>
    </row>
    <row r="51" spans="1:21" ht="28.5" x14ac:dyDescent="0.45">
      <c r="A51" s="203"/>
      <c r="B51" s="124"/>
      <c r="C51" s="143"/>
      <c r="D51" s="142"/>
      <c r="E51" s="148"/>
      <c r="F51" s="148">
        <f t="shared" si="3"/>
        <v>0</v>
      </c>
      <c r="G51" s="148"/>
      <c r="H51" s="149">
        <f t="shared" si="2"/>
        <v>0</v>
      </c>
      <c r="I51" s="116"/>
      <c r="J51" s="203"/>
      <c r="K51" s="203"/>
      <c r="L51" s="124"/>
      <c r="M51" s="143"/>
      <c r="N51" s="107"/>
      <c r="O51" s="200"/>
      <c r="P51" s="148">
        <f t="shared" si="1"/>
        <v>0</v>
      </c>
      <c r="Q51" s="152">
        <f t="shared" si="0"/>
        <v>0</v>
      </c>
      <c r="R51" s="211"/>
      <c r="S51" s="203"/>
      <c r="T51" s="203"/>
      <c r="U51" s="203"/>
    </row>
    <row r="52" spans="1:21" ht="28.5" x14ac:dyDescent="0.45">
      <c r="A52" s="203"/>
      <c r="B52" s="124"/>
      <c r="C52" s="143"/>
      <c r="D52" s="142"/>
      <c r="E52" s="148"/>
      <c r="F52" s="148">
        <f t="shared" si="3"/>
        <v>0</v>
      </c>
      <c r="G52" s="148"/>
      <c r="H52" s="149">
        <f t="shared" si="2"/>
        <v>0</v>
      </c>
      <c r="I52" s="116"/>
      <c r="J52" s="203"/>
      <c r="K52" s="203"/>
      <c r="L52" s="124"/>
      <c r="M52" s="143"/>
      <c r="N52" s="107"/>
      <c r="O52" s="200"/>
      <c r="P52" s="148">
        <f t="shared" si="1"/>
        <v>0</v>
      </c>
      <c r="Q52" s="152">
        <f t="shared" si="0"/>
        <v>0</v>
      </c>
      <c r="R52" s="211"/>
      <c r="S52" s="203"/>
      <c r="T52" s="203"/>
      <c r="U52" s="203"/>
    </row>
    <row r="53" spans="1:21" ht="28.5" x14ac:dyDescent="0.45">
      <c r="A53" s="203"/>
      <c r="B53" s="124"/>
      <c r="C53" s="143"/>
      <c r="D53" s="142"/>
      <c r="E53" s="148"/>
      <c r="F53" s="148">
        <f t="shared" si="3"/>
        <v>0</v>
      </c>
      <c r="G53" s="148"/>
      <c r="H53" s="149">
        <f t="shared" si="2"/>
        <v>0</v>
      </c>
      <c r="I53" s="116"/>
      <c r="J53" s="203"/>
      <c r="K53" s="203"/>
      <c r="L53" s="124"/>
      <c r="M53" s="143"/>
      <c r="N53" s="107"/>
      <c r="O53" s="200"/>
      <c r="P53" s="148">
        <f t="shared" si="1"/>
        <v>0</v>
      </c>
      <c r="Q53" s="152">
        <f t="shared" si="0"/>
        <v>0</v>
      </c>
      <c r="R53" s="211"/>
      <c r="S53" s="203"/>
      <c r="T53" s="203"/>
      <c r="U53" s="203"/>
    </row>
    <row r="54" spans="1:21" ht="28.5" x14ac:dyDescent="0.45">
      <c r="A54" s="203"/>
      <c r="B54" s="124"/>
      <c r="C54" s="143"/>
      <c r="D54" s="142"/>
      <c r="E54" s="148"/>
      <c r="F54" s="148">
        <f t="shared" si="3"/>
        <v>0</v>
      </c>
      <c r="G54" s="148"/>
      <c r="H54" s="149">
        <f t="shared" si="2"/>
        <v>0</v>
      </c>
      <c r="I54" s="116"/>
      <c r="J54" s="203"/>
      <c r="K54" s="203"/>
      <c r="L54" s="124"/>
      <c r="M54" s="143"/>
      <c r="N54" s="107"/>
      <c r="O54" s="200"/>
      <c r="P54" s="148">
        <f t="shared" si="1"/>
        <v>0</v>
      </c>
      <c r="Q54" s="152">
        <f t="shared" si="0"/>
        <v>0</v>
      </c>
      <c r="R54" s="211"/>
      <c r="S54" s="203"/>
      <c r="T54" s="203"/>
      <c r="U54" s="203"/>
    </row>
    <row r="55" spans="1:21" ht="28.5" x14ac:dyDescent="0.45">
      <c r="A55" s="203"/>
      <c r="B55" s="124"/>
      <c r="C55" s="143"/>
      <c r="D55" s="142"/>
      <c r="E55" s="148"/>
      <c r="F55" s="148">
        <f t="shared" si="3"/>
        <v>0</v>
      </c>
      <c r="G55" s="148"/>
      <c r="H55" s="149">
        <f t="shared" si="2"/>
        <v>0</v>
      </c>
      <c r="I55" s="116"/>
      <c r="J55" s="203"/>
      <c r="K55" s="203"/>
      <c r="L55" s="124"/>
      <c r="M55" s="143"/>
      <c r="N55" s="107"/>
      <c r="O55" s="200"/>
      <c r="P55" s="148">
        <f t="shared" si="1"/>
        <v>0</v>
      </c>
      <c r="Q55" s="152">
        <f t="shared" si="0"/>
        <v>0</v>
      </c>
      <c r="R55" s="211"/>
      <c r="S55" s="203"/>
      <c r="T55" s="203"/>
      <c r="U55" s="203"/>
    </row>
    <row r="56" spans="1:21" ht="28.5" x14ac:dyDescent="0.45">
      <c r="A56" s="203"/>
      <c r="B56" s="124"/>
      <c r="C56" s="143"/>
      <c r="D56" s="142"/>
      <c r="E56" s="148"/>
      <c r="F56" s="148">
        <f t="shared" si="3"/>
        <v>0</v>
      </c>
      <c r="G56" s="148"/>
      <c r="H56" s="149">
        <f t="shared" si="2"/>
        <v>0</v>
      </c>
      <c r="I56" s="116"/>
      <c r="J56" s="203"/>
      <c r="K56" s="203"/>
      <c r="L56" s="124"/>
      <c r="M56" s="143"/>
      <c r="N56" s="107"/>
      <c r="O56" s="200"/>
      <c r="P56" s="148">
        <f t="shared" si="1"/>
        <v>0</v>
      </c>
      <c r="Q56" s="152">
        <f t="shared" si="0"/>
        <v>0</v>
      </c>
      <c r="R56" s="211"/>
      <c r="S56" s="203"/>
      <c r="T56" s="203"/>
      <c r="U56" s="203"/>
    </row>
    <row r="57" spans="1:21" ht="28.5" x14ac:dyDescent="0.45">
      <c r="A57" s="203"/>
      <c r="B57" s="124"/>
      <c r="C57" s="143"/>
      <c r="D57" s="142"/>
      <c r="E57" s="148"/>
      <c r="F57" s="148">
        <f t="shared" si="3"/>
        <v>0</v>
      </c>
      <c r="G57" s="148"/>
      <c r="H57" s="149">
        <f t="shared" si="2"/>
        <v>0</v>
      </c>
      <c r="I57" s="116"/>
      <c r="J57" s="203"/>
      <c r="K57" s="203"/>
      <c r="L57" s="124"/>
      <c r="M57" s="143"/>
      <c r="N57" s="107"/>
      <c r="O57" s="200"/>
      <c r="P57" s="148">
        <f t="shared" si="1"/>
        <v>0</v>
      </c>
      <c r="Q57" s="152">
        <f t="shared" si="0"/>
        <v>0</v>
      </c>
      <c r="R57" s="211"/>
      <c r="S57" s="203"/>
      <c r="T57" s="203"/>
      <c r="U57" s="203"/>
    </row>
    <row r="58" spans="1:21" ht="28.5" x14ac:dyDescent="0.45">
      <c r="A58" s="203"/>
      <c r="B58" s="124"/>
      <c r="C58" s="143"/>
      <c r="D58" s="142"/>
      <c r="E58" s="148"/>
      <c r="F58" s="148">
        <f t="shared" si="3"/>
        <v>0</v>
      </c>
      <c r="G58" s="148"/>
      <c r="H58" s="149">
        <f t="shared" si="2"/>
        <v>0</v>
      </c>
      <c r="I58" s="116"/>
      <c r="J58" s="203"/>
      <c r="K58" s="203"/>
      <c r="L58" s="124"/>
      <c r="M58" s="143"/>
      <c r="N58" s="107"/>
      <c r="O58" s="200"/>
      <c r="P58" s="148">
        <f t="shared" si="1"/>
        <v>0</v>
      </c>
      <c r="Q58" s="152">
        <f t="shared" si="0"/>
        <v>0</v>
      </c>
      <c r="R58" s="211"/>
      <c r="S58" s="203"/>
      <c r="T58" s="203"/>
      <c r="U58" s="203"/>
    </row>
    <row r="59" spans="1:21" ht="28.5" x14ac:dyDescent="0.45">
      <c r="A59" s="203"/>
      <c r="B59" s="124"/>
      <c r="C59" s="143"/>
      <c r="D59" s="142"/>
      <c r="E59" s="148"/>
      <c r="F59" s="148">
        <f t="shared" si="3"/>
        <v>0</v>
      </c>
      <c r="G59" s="148"/>
      <c r="H59" s="149">
        <f t="shared" si="2"/>
        <v>0</v>
      </c>
      <c r="I59" s="116"/>
      <c r="J59" s="203"/>
      <c r="K59" s="203"/>
      <c r="L59" s="124"/>
      <c r="M59" s="143"/>
      <c r="N59" s="107"/>
      <c r="O59" s="200"/>
      <c r="P59" s="148">
        <f t="shared" si="1"/>
        <v>0</v>
      </c>
      <c r="Q59" s="152">
        <f t="shared" si="0"/>
        <v>0</v>
      </c>
      <c r="R59" s="211"/>
      <c r="S59" s="203"/>
      <c r="T59" s="203"/>
      <c r="U59" s="203"/>
    </row>
    <row r="60" spans="1:21" ht="28.5" x14ac:dyDescent="0.45">
      <c r="A60" s="203"/>
      <c r="B60" s="124"/>
      <c r="C60" s="143"/>
      <c r="D60" s="142"/>
      <c r="E60" s="148"/>
      <c r="F60" s="148">
        <f t="shared" si="3"/>
        <v>0</v>
      </c>
      <c r="G60" s="148"/>
      <c r="H60" s="149">
        <f t="shared" si="2"/>
        <v>0</v>
      </c>
      <c r="I60" s="116"/>
      <c r="J60" s="203"/>
      <c r="K60" s="203"/>
      <c r="L60" s="124"/>
      <c r="M60" s="143"/>
      <c r="N60" s="107"/>
      <c r="O60" s="200"/>
      <c r="P60" s="148">
        <f t="shared" si="1"/>
        <v>0</v>
      </c>
      <c r="Q60" s="152">
        <f t="shared" si="0"/>
        <v>0</v>
      </c>
      <c r="R60" s="211"/>
      <c r="S60" s="203"/>
      <c r="T60" s="203"/>
      <c r="U60" s="203"/>
    </row>
    <row r="61" spans="1:21" ht="28.5" x14ac:dyDescent="0.45">
      <c r="A61" s="203"/>
      <c r="B61" s="124"/>
      <c r="C61" s="143"/>
      <c r="D61" s="142"/>
      <c r="E61" s="148"/>
      <c r="F61" s="148">
        <f t="shared" si="3"/>
        <v>0</v>
      </c>
      <c r="G61" s="148"/>
      <c r="H61" s="149">
        <f t="shared" si="2"/>
        <v>0</v>
      </c>
      <c r="I61" s="116"/>
      <c r="J61" s="203"/>
      <c r="K61" s="203"/>
      <c r="L61" s="124"/>
      <c r="M61" s="143"/>
      <c r="N61" s="107"/>
      <c r="O61" s="200"/>
      <c r="P61" s="148">
        <f t="shared" si="1"/>
        <v>0</v>
      </c>
      <c r="Q61" s="152">
        <f t="shared" si="0"/>
        <v>0</v>
      </c>
      <c r="R61" s="211"/>
      <c r="S61" s="203"/>
      <c r="T61" s="203"/>
      <c r="U61" s="203"/>
    </row>
    <row r="62" spans="1:21" ht="28.5" x14ac:dyDescent="0.45">
      <c r="A62" s="203"/>
      <c r="B62" s="124"/>
      <c r="C62" s="143"/>
      <c r="D62" s="142"/>
      <c r="E62" s="148"/>
      <c r="F62" s="148">
        <f t="shared" si="3"/>
        <v>0</v>
      </c>
      <c r="G62" s="148"/>
      <c r="H62" s="149">
        <f t="shared" si="2"/>
        <v>0</v>
      </c>
      <c r="I62" s="116"/>
      <c r="J62" s="203"/>
      <c r="K62" s="203"/>
      <c r="L62" s="124"/>
      <c r="M62" s="143"/>
      <c r="N62" s="107"/>
      <c r="O62" s="200"/>
      <c r="P62" s="148">
        <f t="shared" si="1"/>
        <v>0</v>
      </c>
      <c r="Q62" s="152">
        <f t="shared" si="0"/>
        <v>0</v>
      </c>
      <c r="R62" s="211"/>
      <c r="S62" s="203"/>
      <c r="T62" s="203"/>
      <c r="U62" s="203"/>
    </row>
    <row r="63" spans="1:21" ht="28.5" x14ac:dyDescent="0.45">
      <c r="A63" s="203"/>
      <c r="B63" s="124"/>
      <c r="C63" s="143"/>
      <c r="D63" s="142"/>
      <c r="E63" s="148"/>
      <c r="F63" s="148">
        <f t="shared" si="3"/>
        <v>0</v>
      </c>
      <c r="G63" s="148"/>
      <c r="H63" s="149">
        <f t="shared" si="2"/>
        <v>0</v>
      </c>
      <c r="I63" s="116"/>
      <c r="J63" s="203"/>
      <c r="K63" s="203"/>
      <c r="L63" s="124"/>
      <c r="M63" s="143"/>
      <c r="N63" s="107"/>
      <c r="O63" s="200"/>
      <c r="P63" s="148">
        <f t="shared" si="1"/>
        <v>0</v>
      </c>
      <c r="Q63" s="152">
        <f t="shared" si="0"/>
        <v>0</v>
      </c>
      <c r="R63" s="211"/>
      <c r="S63" s="203"/>
      <c r="T63" s="203"/>
      <c r="U63" s="203"/>
    </row>
    <row r="64" spans="1:21" ht="28.5" x14ac:dyDescent="0.45">
      <c r="A64" s="203"/>
      <c r="B64" s="124"/>
      <c r="C64" s="143"/>
      <c r="D64" s="142"/>
      <c r="E64" s="148"/>
      <c r="F64" s="148">
        <f t="shared" si="3"/>
        <v>0</v>
      </c>
      <c r="G64" s="148"/>
      <c r="H64" s="149">
        <f t="shared" si="2"/>
        <v>0</v>
      </c>
      <c r="I64" s="116"/>
      <c r="J64" s="203"/>
      <c r="K64" s="203"/>
      <c r="L64" s="124"/>
      <c r="M64" s="143"/>
      <c r="N64" s="107"/>
      <c r="O64" s="200"/>
      <c r="P64" s="148">
        <f t="shared" si="1"/>
        <v>0</v>
      </c>
      <c r="Q64" s="152">
        <f t="shared" si="0"/>
        <v>0</v>
      </c>
      <c r="R64" s="211"/>
      <c r="S64" s="203"/>
      <c r="T64" s="203"/>
      <c r="U64" s="203"/>
    </row>
    <row r="65" spans="1:21" ht="28.5" x14ac:dyDescent="0.45">
      <c r="A65" s="203"/>
      <c r="B65" s="124"/>
      <c r="C65" s="143"/>
      <c r="D65" s="142"/>
      <c r="E65" s="148"/>
      <c r="F65" s="148">
        <f t="shared" si="3"/>
        <v>0</v>
      </c>
      <c r="G65" s="148"/>
      <c r="H65" s="149">
        <f t="shared" si="2"/>
        <v>0</v>
      </c>
      <c r="I65" s="116"/>
      <c r="J65" s="203"/>
      <c r="K65" s="203"/>
      <c r="L65" s="124"/>
      <c r="M65" s="143"/>
      <c r="N65" s="107"/>
      <c r="O65" s="200"/>
      <c r="P65" s="148">
        <f t="shared" si="1"/>
        <v>0</v>
      </c>
      <c r="Q65" s="152">
        <f t="shared" si="0"/>
        <v>0</v>
      </c>
      <c r="R65" s="211"/>
      <c r="S65" s="203"/>
      <c r="T65" s="203"/>
      <c r="U65" s="203"/>
    </row>
    <row r="66" spans="1:21" ht="28.5" x14ac:dyDescent="0.45">
      <c r="A66" s="203"/>
      <c r="B66" s="124"/>
      <c r="C66" s="143"/>
      <c r="D66" s="142"/>
      <c r="E66" s="148"/>
      <c r="F66" s="148">
        <f t="shared" si="3"/>
        <v>0</v>
      </c>
      <c r="G66" s="148"/>
      <c r="H66" s="149">
        <f t="shared" si="2"/>
        <v>0</v>
      </c>
      <c r="I66" s="116"/>
      <c r="J66" s="203"/>
      <c r="K66" s="203"/>
      <c r="L66" s="124"/>
      <c r="M66" s="143"/>
      <c r="N66" s="107"/>
      <c r="O66" s="200"/>
      <c r="P66" s="148">
        <f t="shared" si="1"/>
        <v>0</v>
      </c>
      <c r="Q66" s="152">
        <f t="shared" si="0"/>
        <v>0</v>
      </c>
      <c r="R66" s="211"/>
      <c r="S66" s="203"/>
      <c r="T66" s="203"/>
      <c r="U66" s="203"/>
    </row>
    <row r="67" spans="1:21" ht="28.5" x14ac:dyDescent="0.45">
      <c r="A67" s="203"/>
      <c r="B67" s="124"/>
      <c r="C67" s="143"/>
      <c r="D67" s="142"/>
      <c r="E67" s="148"/>
      <c r="F67" s="148">
        <f t="shared" si="3"/>
        <v>0</v>
      </c>
      <c r="G67" s="148"/>
      <c r="H67" s="149">
        <f t="shared" si="2"/>
        <v>0</v>
      </c>
      <c r="I67" s="116"/>
      <c r="J67" s="203"/>
      <c r="K67" s="203"/>
      <c r="L67" s="124"/>
      <c r="M67" s="143"/>
      <c r="N67" s="107"/>
      <c r="O67" s="200"/>
      <c r="P67" s="148">
        <f t="shared" si="1"/>
        <v>0</v>
      </c>
      <c r="Q67" s="152">
        <f t="shared" si="0"/>
        <v>0</v>
      </c>
      <c r="R67" s="211"/>
      <c r="S67" s="203"/>
      <c r="T67" s="203"/>
      <c r="U67" s="203"/>
    </row>
    <row r="68" spans="1:21" ht="28.5" x14ac:dyDescent="0.45">
      <c r="A68" s="203"/>
      <c r="B68" s="124"/>
      <c r="C68" s="143"/>
      <c r="D68" s="142"/>
      <c r="E68" s="148"/>
      <c r="F68" s="148">
        <f t="shared" si="3"/>
        <v>0</v>
      </c>
      <c r="G68" s="148"/>
      <c r="H68" s="149">
        <f t="shared" si="2"/>
        <v>0</v>
      </c>
      <c r="I68" s="116"/>
      <c r="J68" s="203"/>
      <c r="K68" s="203"/>
      <c r="L68" s="124"/>
      <c r="M68" s="143"/>
      <c r="N68" s="107"/>
      <c r="O68" s="200"/>
      <c r="P68" s="148">
        <f t="shared" si="1"/>
        <v>0</v>
      </c>
      <c r="Q68" s="152">
        <f t="shared" si="0"/>
        <v>0</v>
      </c>
      <c r="R68" s="211"/>
      <c r="S68" s="203"/>
      <c r="T68" s="203"/>
      <c r="U68" s="203"/>
    </row>
    <row r="69" spans="1:21" ht="28.5" x14ac:dyDescent="0.45">
      <c r="A69" s="203"/>
      <c r="B69" s="124"/>
      <c r="C69" s="143"/>
      <c r="D69" s="142"/>
      <c r="E69" s="148"/>
      <c r="F69" s="148">
        <f t="shared" si="3"/>
        <v>0</v>
      </c>
      <c r="G69" s="148"/>
      <c r="H69" s="149">
        <f t="shared" si="2"/>
        <v>0</v>
      </c>
      <c r="I69" s="116"/>
      <c r="J69" s="203"/>
      <c r="K69" s="203"/>
      <c r="L69" s="124"/>
      <c r="M69" s="143"/>
      <c r="N69" s="107"/>
      <c r="O69" s="200"/>
      <c r="P69" s="148">
        <f t="shared" si="1"/>
        <v>0</v>
      </c>
      <c r="Q69" s="152">
        <f t="shared" si="0"/>
        <v>0</v>
      </c>
      <c r="R69" s="211"/>
      <c r="S69" s="203"/>
      <c r="T69" s="203"/>
      <c r="U69" s="203"/>
    </row>
    <row r="70" spans="1:21" ht="28.5" x14ac:dyDescent="0.45">
      <c r="A70" s="203"/>
      <c r="B70" s="124"/>
      <c r="C70" s="143"/>
      <c r="D70" s="142"/>
      <c r="E70" s="148"/>
      <c r="F70" s="148">
        <f t="shared" si="3"/>
        <v>0</v>
      </c>
      <c r="G70" s="148"/>
      <c r="H70" s="149">
        <f t="shared" si="2"/>
        <v>0</v>
      </c>
      <c r="I70" s="116"/>
      <c r="J70" s="203"/>
      <c r="K70" s="203"/>
      <c r="L70" s="124"/>
      <c r="M70" s="143"/>
      <c r="N70" s="107"/>
      <c r="O70" s="200"/>
      <c r="P70" s="148">
        <f t="shared" si="1"/>
        <v>0</v>
      </c>
      <c r="Q70" s="152">
        <f t="shared" si="0"/>
        <v>0</v>
      </c>
      <c r="R70" s="211"/>
      <c r="S70" s="203"/>
      <c r="T70" s="203"/>
      <c r="U70" s="203"/>
    </row>
    <row r="71" spans="1:21" ht="28.5" x14ac:dyDescent="0.45">
      <c r="A71" s="203"/>
      <c r="B71" s="124"/>
      <c r="C71" s="143"/>
      <c r="D71" s="142"/>
      <c r="E71" s="148"/>
      <c r="F71" s="148">
        <f t="shared" si="3"/>
        <v>0</v>
      </c>
      <c r="G71" s="148"/>
      <c r="H71" s="149">
        <f t="shared" si="2"/>
        <v>0</v>
      </c>
      <c r="I71" s="116"/>
      <c r="J71" s="203"/>
      <c r="K71" s="203"/>
      <c r="L71" s="124"/>
      <c r="M71" s="143"/>
      <c r="N71" s="107"/>
      <c r="O71" s="200"/>
      <c r="P71" s="148">
        <f t="shared" si="1"/>
        <v>0</v>
      </c>
      <c r="Q71" s="152">
        <f t="shared" si="0"/>
        <v>0</v>
      </c>
      <c r="R71" s="211"/>
      <c r="S71" s="203"/>
      <c r="T71" s="203"/>
      <c r="U71" s="203"/>
    </row>
    <row r="72" spans="1:21" ht="28.5" x14ac:dyDescent="0.45">
      <c r="A72" s="203"/>
      <c r="B72" s="124"/>
      <c r="C72" s="143"/>
      <c r="D72" s="142"/>
      <c r="E72" s="148"/>
      <c r="F72" s="148">
        <f t="shared" si="3"/>
        <v>0</v>
      </c>
      <c r="G72" s="148"/>
      <c r="H72" s="149">
        <f t="shared" si="2"/>
        <v>0</v>
      </c>
      <c r="I72" s="116"/>
      <c r="J72" s="203"/>
      <c r="K72" s="203"/>
      <c r="L72" s="124"/>
      <c r="M72" s="143"/>
      <c r="N72" s="107"/>
      <c r="O72" s="200"/>
      <c r="P72" s="148">
        <f t="shared" si="1"/>
        <v>0</v>
      </c>
      <c r="Q72" s="152">
        <f t="shared" si="0"/>
        <v>0</v>
      </c>
      <c r="R72" s="211"/>
      <c r="S72" s="203"/>
      <c r="T72" s="203"/>
      <c r="U72" s="203"/>
    </row>
    <row r="73" spans="1:21" ht="28.5" x14ac:dyDescent="0.45">
      <c r="A73" s="203"/>
      <c r="B73" s="124"/>
      <c r="C73" s="143"/>
      <c r="D73" s="142"/>
      <c r="E73" s="148"/>
      <c r="F73" s="148">
        <f t="shared" si="3"/>
        <v>0</v>
      </c>
      <c r="G73" s="148"/>
      <c r="H73" s="149">
        <f t="shared" si="2"/>
        <v>0</v>
      </c>
      <c r="I73" s="116"/>
      <c r="J73" s="203"/>
      <c r="K73" s="203"/>
      <c r="L73" s="124"/>
      <c r="M73" s="143"/>
      <c r="N73" s="107"/>
      <c r="O73" s="200"/>
      <c r="P73" s="148">
        <f t="shared" si="1"/>
        <v>0</v>
      </c>
      <c r="Q73" s="152">
        <f t="shared" si="0"/>
        <v>0</v>
      </c>
      <c r="R73" s="211"/>
      <c r="S73" s="203"/>
      <c r="T73" s="203"/>
      <c r="U73" s="203"/>
    </row>
    <row r="74" spans="1:21" ht="28.5" x14ac:dyDescent="0.45">
      <c r="A74" s="203"/>
      <c r="B74" s="124"/>
      <c r="C74" s="143"/>
      <c r="D74" s="142"/>
      <c r="E74" s="148"/>
      <c r="F74" s="148">
        <f t="shared" si="3"/>
        <v>0</v>
      </c>
      <c r="G74" s="148"/>
      <c r="H74" s="149">
        <f t="shared" si="2"/>
        <v>0</v>
      </c>
      <c r="I74" s="116"/>
      <c r="J74" s="203"/>
      <c r="K74" s="203"/>
      <c r="L74" s="124"/>
      <c r="M74" s="143"/>
      <c r="N74" s="107"/>
      <c r="O74" s="200"/>
      <c r="P74" s="148">
        <f t="shared" si="1"/>
        <v>0</v>
      </c>
      <c r="Q74" s="152">
        <f t="shared" si="0"/>
        <v>0</v>
      </c>
      <c r="R74" s="211"/>
      <c r="S74" s="203"/>
      <c r="T74" s="203"/>
      <c r="U74" s="203"/>
    </row>
    <row r="75" spans="1:21" ht="28.5" x14ac:dyDescent="0.45">
      <c r="A75" s="203"/>
      <c r="B75" s="124"/>
      <c r="C75" s="143"/>
      <c r="D75" s="142"/>
      <c r="E75" s="148"/>
      <c r="F75" s="148">
        <f t="shared" si="3"/>
        <v>0</v>
      </c>
      <c r="G75" s="148"/>
      <c r="H75" s="149">
        <f t="shared" si="2"/>
        <v>0</v>
      </c>
      <c r="I75" s="116"/>
      <c r="J75" s="203"/>
      <c r="K75" s="203"/>
      <c r="L75" s="124"/>
      <c r="M75" s="143"/>
      <c r="N75" s="107"/>
      <c r="O75" s="200"/>
      <c r="P75" s="148">
        <f t="shared" si="1"/>
        <v>0</v>
      </c>
      <c r="Q75" s="152">
        <f t="shared" si="0"/>
        <v>0</v>
      </c>
      <c r="R75" s="211"/>
      <c r="S75" s="203"/>
      <c r="T75" s="203"/>
      <c r="U75" s="203"/>
    </row>
    <row r="76" spans="1:21" ht="28.5" x14ac:dyDescent="0.45">
      <c r="A76" s="203"/>
      <c r="B76" s="124"/>
      <c r="C76" s="143"/>
      <c r="D76" s="142"/>
      <c r="E76" s="148"/>
      <c r="F76" s="148">
        <f t="shared" si="3"/>
        <v>0</v>
      </c>
      <c r="G76" s="148"/>
      <c r="H76" s="149">
        <f t="shared" si="2"/>
        <v>0</v>
      </c>
      <c r="I76" s="116"/>
      <c r="J76" s="203"/>
      <c r="K76" s="203"/>
      <c r="L76" s="124"/>
      <c r="M76" s="143"/>
      <c r="N76" s="107"/>
      <c r="O76" s="200"/>
      <c r="P76" s="148">
        <f t="shared" si="1"/>
        <v>0</v>
      </c>
      <c r="Q76" s="152">
        <f t="shared" si="0"/>
        <v>0</v>
      </c>
      <c r="R76" s="211"/>
      <c r="S76" s="203"/>
      <c r="T76" s="203"/>
      <c r="U76" s="203"/>
    </row>
    <row r="77" spans="1:21" ht="28.5" x14ac:dyDescent="0.45">
      <c r="A77" s="203"/>
      <c r="B77" s="124"/>
      <c r="C77" s="143"/>
      <c r="D77" s="142"/>
      <c r="E77" s="148"/>
      <c r="F77" s="148">
        <f t="shared" si="3"/>
        <v>0</v>
      </c>
      <c r="G77" s="148"/>
      <c r="H77" s="149">
        <f t="shared" si="2"/>
        <v>0</v>
      </c>
      <c r="I77" s="116"/>
      <c r="J77" s="203"/>
      <c r="K77" s="203"/>
      <c r="L77" s="124"/>
      <c r="M77" s="143"/>
      <c r="N77" s="107"/>
      <c r="O77" s="200"/>
      <c r="P77" s="148">
        <f t="shared" si="1"/>
        <v>0</v>
      </c>
      <c r="Q77" s="152">
        <f t="shared" si="0"/>
        <v>0</v>
      </c>
      <c r="R77" s="211"/>
      <c r="S77" s="203"/>
      <c r="T77" s="203"/>
      <c r="U77" s="203"/>
    </row>
    <row r="78" spans="1:21" ht="28.5" x14ac:dyDescent="0.45">
      <c r="A78" s="203"/>
      <c r="B78" s="124"/>
      <c r="C78" s="143"/>
      <c r="D78" s="142"/>
      <c r="E78" s="148"/>
      <c r="F78" s="148">
        <f t="shared" si="3"/>
        <v>0</v>
      </c>
      <c r="G78" s="148"/>
      <c r="H78" s="149">
        <f t="shared" si="2"/>
        <v>0</v>
      </c>
      <c r="I78" s="116"/>
      <c r="J78" s="203"/>
      <c r="K78" s="203"/>
      <c r="L78" s="124"/>
      <c r="M78" s="143"/>
      <c r="N78" s="107"/>
      <c r="O78" s="200"/>
      <c r="P78" s="148">
        <f t="shared" si="1"/>
        <v>0</v>
      </c>
      <c r="Q78" s="152">
        <f t="shared" si="0"/>
        <v>0</v>
      </c>
      <c r="R78" s="211"/>
      <c r="S78" s="203"/>
      <c r="T78" s="203"/>
      <c r="U78" s="203"/>
    </row>
    <row r="79" spans="1:21" ht="28.5" x14ac:dyDescent="0.45">
      <c r="A79" s="203"/>
      <c r="B79" s="124"/>
      <c r="C79" s="143"/>
      <c r="D79" s="142"/>
      <c r="E79" s="148"/>
      <c r="F79" s="148">
        <f t="shared" si="3"/>
        <v>0</v>
      </c>
      <c r="G79" s="148"/>
      <c r="H79" s="149">
        <f t="shared" si="2"/>
        <v>0</v>
      </c>
      <c r="I79" s="116"/>
      <c r="J79" s="203"/>
      <c r="K79" s="203"/>
      <c r="L79" s="124"/>
      <c r="M79" s="143"/>
      <c r="N79" s="107"/>
      <c r="O79" s="200"/>
      <c r="P79" s="148">
        <f t="shared" si="1"/>
        <v>0</v>
      </c>
      <c r="Q79" s="152">
        <f t="shared" si="0"/>
        <v>0</v>
      </c>
      <c r="R79" s="211"/>
      <c r="S79" s="203"/>
      <c r="T79" s="203"/>
      <c r="U79" s="203"/>
    </row>
    <row r="80" spans="1:21" ht="28.5" x14ac:dyDescent="0.45">
      <c r="A80" s="203"/>
      <c r="B80" s="124"/>
      <c r="C80" s="143"/>
      <c r="D80" s="142"/>
      <c r="E80" s="148"/>
      <c r="F80" s="148">
        <f t="shared" si="3"/>
        <v>0</v>
      </c>
      <c r="G80" s="148"/>
      <c r="H80" s="149">
        <f t="shared" si="2"/>
        <v>0</v>
      </c>
      <c r="I80" s="116"/>
      <c r="J80" s="203"/>
      <c r="K80" s="203"/>
      <c r="L80" s="124"/>
      <c r="M80" s="143"/>
      <c r="N80" s="107"/>
      <c r="O80" s="200"/>
      <c r="P80" s="148">
        <f t="shared" si="1"/>
        <v>0</v>
      </c>
      <c r="Q80" s="152">
        <f t="shared" si="0"/>
        <v>0</v>
      </c>
      <c r="R80" s="211"/>
      <c r="S80" s="203"/>
      <c r="T80" s="203"/>
      <c r="U80" s="203"/>
    </row>
    <row r="81" spans="1:21" ht="28.5" x14ac:dyDescent="0.45">
      <c r="A81" s="203"/>
      <c r="B81" s="124"/>
      <c r="C81" s="143"/>
      <c r="D81" s="142"/>
      <c r="E81" s="148"/>
      <c r="F81" s="148">
        <f t="shared" si="3"/>
        <v>0</v>
      </c>
      <c r="G81" s="148"/>
      <c r="H81" s="149">
        <f t="shared" si="2"/>
        <v>0</v>
      </c>
      <c r="I81" s="116"/>
      <c r="J81" s="203"/>
      <c r="K81" s="203"/>
      <c r="L81" s="124"/>
      <c r="M81" s="143"/>
      <c r="N81" s="107"/>
      <c r="O81" s="200"/>
      <c r="P81" s="148">
        <f t="shared" si="1"/>
        <v>0</v>
      </c>
      <c r="Q81" s="152">
        <f t="shared" si="0"/>
        <v>0</v>
      </c>
      <c r="R81" s="211"/>
      <c r="S81" s="203"/>
      <c r="T81" s="203"/>
      <c r="U81" s="203"/>
    </row>
    <row r="82" spans="1:21" ht="28.5" x14ac:dyDescent="0.45">
      <c r="A82" s="203"/>
      <c r="B82" s="124"/>
      <c r="C82" s="143"/>
      <c r="D82" s="142"/>
      <c r="E82" s="148"/>
      <c r="F82" s="148">
        <f t="shared" si="3"/>
        <v>0</v>
      </c>
      <c r="G82" s="148"/>
      <c r="H82" s="149">
        <f t="shared" si="2"/>
        <v>0</v>
      </c>
      <c r="I82" s="116"/>
      <c r="J82" s="203"/>
      <c r="K82" s="203"/>
      <c r="L82" s="124"/>
      <c r="M82" s="143"/>
      <c r="N82" s="107"/>
      <c r="O82" s="200"/>
      <c r="P82" s="148">
        <f t="shared" si="1"/>
        <v>0</v>
      </c>
      <c r="Q82" s="152">
        <f t="shared" si="0"/>
        <v>0</v>
      </c>
      <c r="R82" s="211"/>
      <c r="S82" s="203"/>
      <c r="T82" s="203"/>
      <c r="U82" s="203"/>
    </row>
    <row r="83" spans="1:21" ht="28.5" x14ac:dyDescent="0.45">
      <c r="A83" s="203"/>
      <c r="B83" s="124"/>
      <c r="C83" s="143"/>
      <c r="D83" s="142"/>
      <c r="E83" s="148"/>
      <c r="F83" s="148">
        <f t="shared" si="3"/>
        <v>0</v>
      </c>
      <c r="G83" s="148"/>
      <c r="H83" s="149">
        <f t="shared" si="2"/>
        <v>0</v>
      </c>
      <c r="I83" s="116"/>
      <c r="J83" s="203"/>
      <c r="K83" s="203"/>
      <c r="L83" s="124"/>
      <c r="M83" s="143"/>
      <c r="N83" s="107"/>
      <c r="O83" s="200"/>
      <c r="P83" s="148">
        <f t="shared" si="1"/>
        <v>0</v>
      </c>
      <c r="Q83" s="152">
        <f t="shared" si="0"/>
        <v>0</v>
      </c>
      <c r="R83" s="211"/>
      <c r="S83" s="203"/>
      <c r="T83" s="203"/>
      <c r="U83" s="203"/>
    </row>
    <row r="84" spans="1:21" ht="28.5" x14ac:dyDescent="0.45">
      <c r="A84" s="203"/>
      <c r="B84" s="124"/>
      <c r="C84" s="143"/>
      <c r="D84" s="142"/>
      <c r="E84" s="148"/>
      <c r="F84" s="148">
        <f t="shared" si="3"/>
        <v>0</v>
      </c>
      <c r="G84" s="148"/>
      <c r="H84" s="149">
        <f t="shared" si="2"/>
        <v>0</v>
      </c>
      <c r="I84" s="116"/>
      <c r="J84" s="203"/>
      <c r="K84" s="203"/>
      <c r="L84" s="124"/>
      <c r="M84" s="143"/>
      <c r="N84" s="107"/>
      <c r="O84" s="200"/>
      <c r="P84" s="148">
        <f t="shared" si="1"/>
        <v>0</v>
      </c>
      <c r="Q84" s="152">
        <f t="shared" si="0"/>
        <v>0</v>
      </c>
      <c r="R84" s="211"/>
      <c r="S84" s="203"/>
      <c r="T84" s="203"/>
      <c r="U84" s="203"/>
    </row>
    <row r="85" spans="1:21" ht="28.5" x14ac:dyDescent="0.45">
      <c r="A85" s="203"/>
      <c r="B85" s="124"/>
      <c r="C85" s="143"/>
      <c r="D85" s="142"/>
      <c r="E85" s="148"/>
      <c r="F85" s="148">
        <f t="shared" si="3"/>
        <v>0</v>
      </c>
      <c r="G85" s="148"/>
      <c r="H85" s="149">
        <f t="shared" si="2"/>
        <v>0</v>
      </c>
      <c r="I85" s="116"/>
      <c r="J85" s="203"/>
      <c r="K85" s="203"/>
      <c r="L85" s="124"/>
      <c r="M85" s="143"/>
      <c r="N85" s="107"/>
      <c r="O85" s="200"/>
      <c r="P85" s="148">
        <f t="shared" si="1"/>
        <v>0</v>
      </c>
      <c r="Q85" s="152">
        <f t="shared" si="0"/>
        <v>0</v>
      </c>
      <c r="R85" s="211"/>
      <c r="S85" s="203"/>
      <c r="T85" s="203"/>
      <c r="U85" s="203"/>
    </row>
    <row r="86" spans="1:21" ht="28.5" x14ac:dyDescent="0.45">
      <c r="A86" s="203"/>
      <c r="B86" s="124"/>
      <c r="C86" s="143"/>
      <c r="D86" s="142"/>
      <c r="E86" s="148"/>
      <c r="F86" s="148">
        <f t="shared" si="3"/>
        <v>0</v>
      </c>
      <c r="G86" s="148"/>
      <c r="H86" s="149">
        <f t="shared" si="2"/>
        <v>0</v>
      </c>
      <c r="I86" s="116"/>
      <c r="J86" s="203"/>
      <c r="K86" s="203"/>
      <c r="L86" s="124"/>
      <c r="M86" s="143"/>
      <c r="N86" s="107"/>
      <c r="O86" s="200"/>
      <c r="P86" s="148">
        <f t="shared" si="1"/>
        <v>0</v>
      </c>
      <c r="Q86" s="152">
        <f t="shared" si="0"/>
        <v>0</v>
      </c>
      <c r="R86" s="211"/>
      <c r="S86" s="203"/>
      <c r="T86" s="203"/>
      <c r="U86" s="203"/>
    </row>
    <row r="87" spans="1:21" ht="28.5" x14ac:dyDescent="0.45">
      <c r="A87" s="203"/>
      <c r="B87" s="124"/>
      <c r="C87" s="143"/>
      <c r="D87" s="142"/>
      <c r="E87" s="148"/>
      <c r="F87" s="148">
        <f t="shared" si="3"/>
        <v>0</v>
      </c>
      <c r="G87" s="148"/>
      <c r="H87" s="149">
        <f t="shared" si="2"/>
        <v>0</v>
      </c>
      <c r="I87" s="116"/>
      <c r="J87" s="203"/>
      <c r="K87" s="203"/>
      <c r="L87" s="124"/>
      <c r="M87" s="143"/>
      <c r="N87" s="107"/>
      <c r="O87" s="200"/>
      <c r="P87" s="148">
        <f t="shared" si="1"/>
        <v>0</v>
      </c>
      <c r="Q87" s="152">
        <f t="shared" si="0"/>
        <v>0</v>
      </c>
      <c r="R87" s="211"/>
      <c r="S87" s="203"/>
      <c r="T87" s="203"/>
      <c r="U87" s="203"/>
    </row>
    <row r="88" spans="1:21" ht="28.5" x14ac:dyDescent="0.45">
      <c r="A88" s="203"/>
      <c r="B88" s="124"/>
      <c r="C88" s="143"/>
      <c r="D88" s="142"/>
      <c r="E88" s="148"/>
      <c r="F88" s="148">
        <f t="shared" si="3"/>
        <v>0</v>
      </c>
      <c r="G88" s="148"/>
      <c r="H88" s="149">
        <f t="shared" si="2"/>
        <v>0</v>
      </c>
      <c r="I88" s="116"/>
      <c r="J88" s="203"/>
      <c r="K88" s="203"/>
      <c r="L88" s="124"/>
      <c r="M88" s="143"/>
      <c r="N88" s="107"/>
      <c r="O88" s="200"/>
      <c r="P88" s="148">
        <f t="shared" si="1"/>
        <v>0</v>
      </c>
      <c r="Q88" s="152">
        <f t="shared" si="0"/>
        <v>0</v>
      </c>
      <c r="R88" s="211"/>
      <c r="S88" s="203"/>
      <c r="T88" s="203"/>
      <c r="U88" s="203"/>
    </row>
    <row r="89" spans="1:21" ht="28.5" x14ac:dyDescent="0.45">
      <c r="A89" s="203"/>
      <c r="B89" s="124"/>
      <c r="C89" s="143"/>
      <c r="D89" s="142"/>
      <c r="E89" s="148"/>
      <c r="F89" s="148">
        <f t="shared" si="3"/>
        <v>0</v>
      </c>
      <c r="G89" s="148"/>
      <c r="H89" s="149">
        <f t="shared" si="2"/>
        <v>0</v>
      </c>
      <c r="I89" s="116"/>
      <c r="J89" s="203"/>
      <c r="K89" s="203"/>
      <c r="L89" s="124"/>
      <c r="M89" s="143"/>
      <c r="N89" s="107"/>
      <c r="O89" s="200"/>
      <c r="P89" s="148">
        <f t="shared" si="1"/>
        <v>0</v>
      </c>
      <c r="Q89" s="152">
        <f t="shared" si="0"/>
        <v>0</v>
      </c>
      <c r="R89" s="211"/>
      <c r="S89" s="203"/>
      <c r="T89" s="203"/>
      <c r="U89" s="203"/>
    </row>
    <row r="90" spans="1:21" ht="28.5" x14ac:dyDescent="0.45">
      <c r="A90" s="203"/>
      <c r="B90" s="124"/>
      <c r="C90" s="143"/>
      <c r="D90" s="142"/>
      <c r="E90" s="148"/>
      <c r="F90" s="148">
        <f t="shared" si="3"/>
        <v>0</v>
      </c>
      <c r="G90" s="148"/>
      <c r="H90" s="149">
        <f t="shared" si="2"/>
        <v>0</v>
      </c>
      <c r="I90" s="116"/>
      <c r="J90" s="203"/>
      <c r="K90" s="203"/>
      <c r="L90" s="124"/>
      <c r="M90" s="143"/>
      <c r="N90" s="107"/>
      <c r="O90" s="200"/>
      <c r="P90" s="148">
        <f t="shared" si="1"/>
        <v>0</v>
      </c>
      <c r="Q90" s="152">
        <f t="shared" si="0"/>
        <v>0</v>
      </c>
      <c r="R90" s="211"/>
      <c r="S90" s="203"/>
      <c r="T90" s="203"/>
      <c r="U90" s="203"/>
    </row>
    <row r="91" spans="1:21" ht="29.25" thickBot="1" x14ac:dyDescent="0.5">
      <c r="A91" s="203"/>
      <c r="B91" s="124"/>
      <c r="C91" s="143"/>
      <c r="D91" s="142"/>
      <c r="E91" s="148"/>
      <c r="F91" s="148">
        <f t="shared" si="3"/>
        <v>0</v>
      </c>
      <c r="G91" s="148"/>
      <c r="H91" s="149">
        <f t="shared" si="2"/>
        <v>0</v>
      </c>
      <c r="I91" s="116"/>
      <c r="J91" s="203"/>
      <c r="K91" s="203"/>
      <c r="L91" s="124"/>
      <c r="M91" s="143"/>
      <c r="N91" s="107"/>
      <c r="O91" s="200"/>
      <c r="P91" s="148">
        <f t="shared" si="1"/>
        <v>0</v>
      </c>
      <c r="Q91" s="152">
        <f t="shared" si="0"/>
        <v>0</v>
      </c>
      <c r="R91" s="211"/>
      <c r="S91" s="203"/>
      <c r="T91" s="203"/>
      <c r="U91" s="203"/>
    </row>
    <row r="92" spans="1:21" ht="29.25" thickBot="1" x14ac:dyDescent="0.5">
      <c r="A92" s="203"/>
      <c r="B92" s="109" t="s">
        <v>25</v>
      </c>
      <c r="C92" s="113"/>
      <c r="D92" s="113"/>
      <c r="E92" s="150">
        <f ca="1">SUM(E39:E91)</f>
        <v>1351.22</v>
      </c>
      <c r="F92" s="150">
        <f>SUM(F39:G91)</f>
        <v>0</v>
      </c>
      <c r="G92" s="150"/>
      <c r="H92" s="151">
        <f t="shared" ca="1" si="2"/>
        <v>1351.22</v>
      </c>
      <c r="I92" s="117"/>
      <c r="J92" s="203"/>
      <c r="K92" s="203"/>
      <c r="L92" s="114" t="s">
        <v>25</v>
      </c>
      <c r="M92" s="177"/>
      <c r="N92" s="123"/>
      <c r="O92" s="201">
        <f ca="1">SUM(O24:O91)</f>
        <v>846.3</v>
      </c>
      <c r="P92" s="153">
        <f ca="1">SUM(P24:P91)</f>
        <v>846.3</v>
      </c>
      <c r="Q92" s="154">
        <f ca="1">O92-P92</f>
        <v>0</v>
      </c>
      <c r="R92" s="212"/>
      <c r="S92" s="203"/>
      <c r="T92" s="203"/>
      <c r="U92" s="203"/>
    </row>
    <row r="93" spans="1:21" ht="26.25" x14ac:dyDescent="0.4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4"/>
      <c r="N93" s="205"/>
      <c r="O93" s="235"/>
      <c r="P93" s="205"/>
      <c r="Q93" s="205"/>
      <c r="R93" s="205"/>
      <c r="S93" s="203"/>
      <c r="T93" s="203"/>
      <c r="U93" s="203"/>
    </row>
    <row r="94" spans="1:21" ht="26.25" x14ac:dyDescent="0.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7"/>
      <c r="M94" s="204"/>
      <c r="N94" s="208"/>
      <c r="O94" s="235"/>
      <c r="P94" s="208"/>
      <c r="Q94" s="209"/>
      <c r="R94" s="209"/>
      <c r="S94" s="203"/>
      <c r="T94" s="203"/>
      <c r="U94" s="203"/>
    </row>
  </sheetData>
  <sheetProtection algorithmName="SHA-512" hashValue="p2gvhy7QhnhgbFn4rMxx5+s6dFAR2Cz9yE8UfHOwM14OEPYRHmKEFQzpPnu/LViLlpcbAdl0eaAT4jwr/Wsx0g==" saltValue="WvMED+5iHmLYb2q9pmrvrQ==" spinCount="100000" sheet="1" formatCells="0" formatColumns="0" formatRows="0" selectLockedCells="1" sort="0" autoFilter="0"/>
  <mergeCells count="11">
    <mergeCell ref="H25:I25"/>
    <mergeCell ref="B1:M1"/>
    <mergeCell ref="B2:M2"/>
    <mergeCell ref="B3:M3"/>
    <mergeCell ref="H23:I23"/>
    <mergeCell ref="H24:I24"/>
    <mergeCell ref="H26:I26"/>
    <mergeCell ref="H27:I27"/>
    <mergeCell ref="H28:I28"/>
    <mergeCell ref="H29:I29"/>
    <mergeCell ref="H30:I30"/>
  </mergeCells>
  <conditionalFormatting sqref="B10:C10">
    <cfRule type="colorScale" priority="1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B14:C14">
    <cfRule type="colorScale" priority="2">
      <colorScale>
        <cfvo type="formula" val="$L$14*75/100"/>
        <cfvo type="formula" val="$L$14*95/100"/>
        <cfvo type="formula" val="$L$14"/>
        <color rgb="FFFF0000"/>
        <color rgb="FFFFFF00"/>
        <color rgb="FF00B050"/>
      </colorScale>
    </cfRule>
  </conditionalFormatting>
  <conditionalFormatting sqref="H10">
    <cfRule type="colorScale" priority="3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14">
    <cfRule type="colorScale" priority="4">
      <colorScale>
        <cfvo type="formula" val="$L$10*75/100"/>
        <cfvo type="formula" val="$L$10*95/100"/>
        <cfvo type="formula" val="$L$10"/>
        <color rgb="FFFF0000"/>
        <color rgb="FFFFFF00"/>
        <color rgb="FF00B050"/>
      </colorScale>
    </cfRule>
  </conditionalFormatting>
  <conditionalFormatting sqref="H24 H30:H33 H39:H91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Q24:Q91 H25:H29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42CD-AB5F-49B0-BCF4-0A7B04CB6E9D}">
  <dimension ref="A1:M998"/>
  <sheetViews>
    <sheetView zoomScale="90" zoomScaleNormal="90" workbookViewId="0">
      <selection activeCell="H12" sqref="H12"/>
    </sheetView>
  </sheetViews>
  <sheetFormatPr baseColWidth="10" defaultRowHeight="15" x14ac:dyDescent="0.25"/>
  <cols>
    <col min="1" max="1" width="16.7109375" bestFit="1" customWidth="1"/>
    <col min="2" max="2" width="24.28515625" bestFit="1" customWidth="1"/>
    <col min="3" max="3" width="39.7109375" bestFit="1" customWidth="1"/>
    <col min="4" max="4" width="12.85546875" bestFit="1" customWidth="1"/>
    <col min="5" max="5" width="13.5703125" bestFit="1" customWidth="1"/>
    <col min="6" max="6" width="20.28515625" bestFit="1" customWidth="1"/>
    <col min="7" max="7" width="24.28515625" bestFit="1" customWidth="1"/>
    <col min="8" max="8" width="23.85546875" bestFit="1" customWidth="1"/>
    <col min="9" max="9" width="10.28515625" bestFit="1" customWidth="1"/>
    <col min="10" max="10" width="9" bestFit="1" customWidth="1"/>
    <col min="11" max="11" width="17.85546875" bestFit="1" customWidth="1"/>
    <col min="12" max="12" width="23.28515625" bestFit="1" customWidth="1"/>
    <col min="13" max="13" width="19.42578125" customWidth="1"/>
    <col min="14" max="14" width="12.28515625" bestFit="1" customWidth="1"/>
    <col min="15" max="15" width="16.42578125" bestFit="1" customWidth="1"/>
    <col min="16" max="16" width="16.140625" bestFit="1" customWidth="1"/>
    <col min="17" max="17" width="15.42578125" bestFit="1" customWidth="1"/>
    <col min="18" max="18" width="59.42578125" bestFit="1" customWidth="1"/>
    <col min="19" max="19" width="25.85546875" bestFit="1" customWidth="1"/>
  </cols>
  <sheetData>
    <row r="1" spans="1:13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83</v>
      </c>
      <c r="G1" t="s">
        <v>78</v>
      </c>
      <c r="H1" t="s">
        <v>84</v>
      </c>
      <c r="I1" t="s">
        <v>45</v>
      </c>
      <c r="J1" t="s">
        <v>77</v>
      </c>
      <c r="K1" t="s">
        <v>105</v>
      </c>
      <c r="M1" t="s">
        <v>228</v>
      </c>
    </row>
    <row r="2" spans="1:13" x14ac:dyDescent="0.25">
      <c r="A2" s="115">
        <v>44939</v>
      </c>
      <c r="B2" s="248" t="s">
        <v>120</v>
      </c>
      <c r="C2" s="248" t="s">
        <v>122</v>
      </c>
      <c r="D2">
        <v>-43.21</v>
      </c>
      <c r="F2" t="s">
        <v>85</v>
      </c>
      <c r="G2">
        <v>43.21</v>
      </c>
      <c r="H2">
        <v>-43.21</v>
      </c>
      <c r="I2" t="s">
        <v>97</v>
      </c>
      <c r="J2">
        <v>2023</v>
      </c>
      <c r="K2" s="248" t="s">
        <v>121</v>
      </c>
      <c r="M2" t="str" cm="1">
        <f t="array" aca="1" ref="M2" ca="1">_xlfn.TEXTBEFORE(CELL("filename"),"\[")</f>
        <v>C:\Users\eleve04\Documents\Github\ProjetGithub\PROJECTS_NDOUDI_Nimrod\Suivi Budgétaire Personnel [PERSONAL]</v>
      </c>
    </row>
    <row r="3" spans="1:13" x14ac:dyDescent="0.25">
      <c r="A3" s="115">
        <v>44941</v>
      </c>
      <c r="B3" s="248" t="s">
        <v>123</v>
      </c>
      <c r="C3" s="248" t="s">
        <v>125</v>
      </c>
      <c r="E3">
        <v>2200</v>
      </c>
      <c r="F3" t="s">
        <v>86</v>
      </c>
      <c r="G3">
        <v>2200</v>
      </c>
      <c r="H3">
        <v>2200</v>
      </c>
      <c r="I3" t="s">
        <v>97</v>
      </c>
      <c r="J3">
        <v>2023</v>
      </c>
      <c r="K3" s="248" t="s">
        <v>124</v>
      </c>
    </row>
    <row r="4" spans="1:13" x14ac:dyDescent="0.25">
      <c r="A4" s="115">
        <v>44946</v>
      </c>
      <c r="B4" s="248" t="s">
        <v>120</v>
      </c>
      <c r="C4" s="248" t="s">
        <v>127</v>
      </c>
      <c r="D4">
        <v>-17</v>
      </c>
      <c r="F4" t="s">
        <v>85</v>
      </c>
      <c r="G4">
        <v>17</v>
      </c>
      <c r="H4">
        <v>-17</v>
      </c>
      <c r="I4" t="s">
        <v>97</v>
      </c>
      <c r="J4">
        <v>2023</v>
      </c>
      <c r="K4" s="248" t="s">
        <v>126</v>
      </c>
    </row>
    <row r="5" spans="1:13" x14ac:dyDescent="0.25">
      <c r="A5" s="115">
        <v>44952</v>
      </c>
      <c r="B5" s="248" t="s">
        <v>128</v>
      </c>
      <c r="C5" s="248" t="s">
        <v>130</v>
      </c>
      <c r="D5">
        <v>-26.4</v>
      </c>
      <c r="F5" t="s">
        <v>85</v>
      </c>
      <c r="G5">
        <v>26.4</v>
      </c>
      <c r="H5">
        <v>-26.4</v>
      </c>
      <c r="I5" t="s">
        <v>97</v>
      </c>
      <c r="J5">
        <v>2023</v>
      </c>
      <c r="K5" s="248" t="s">
        <v>129</v>
      </c>
    </row>
    <row r="6" spans="1:13" x14ac:dyDescent="0.25">
      <c r="A6" s="115">
        <v>44987</v>
      </c>
      <c r="B6" s="248" t="s">
        <v>128</v>
      </c>
      <c r="C6" s="248" t="s">
        <v>132</v>
      </c>
      <c r="D6">
        <v>-18.989999999999998</v>
      </c>
      <c r="F6" t="s">
        <v>85</v>
      </c>
      <c r="G6">
        <v>18.989999999999998</v>
      </c>
      <c r="H6">
        <v>-18.989999999999998</v>
      </c>
      <c r="I6" t="s">
        <v>109</v>
      </c>
      <c r="J6">
        <v>2023</v>
      </c>
      <c r="K6" s="248" t="s">
        <v>131</v>
      </c>
    </row>
    <row r="7" spans="1:13" x14ac:dyDescent="0.25">
      <c r="A7" s="115">
        <v>45140</v>
      </c>
      <c r="B7" s="248" t="s">
        <v>123</v>
      </c>
      <c r="C7" s="248" t="s">
        <v>134</v>
      </c>
      <c r="E7">
        <v>95</v>
      </c>
      <c r="F7" t="s">
        <v>86</v>
      </c>
      <c r="G7">
        <v>95</v>
      </c>
      <c r="H7">
        <v>95</v>
      </c>
      <c r="I7" t="s">
        <v>114</v>
      </c>
      <c r="J7">
        <v>2023</v>
      </c>
      <c r="K7" s="248" t="s">
        <v>133</v>
      </c>
    </row>
    <row r="8" spans="1:13" x14ac:dyDescent="0.25">
      <c r="A8" s="115">
        <v>44971</v>
      </c>
      <c r="B8" s="248" t="s">
        <v>120</v>
      </c>
      <c r="C8" s="248" t="s">
        <v>136</v>
      </c>
      <c r="D8">
        <v>-38.5</v>
      </c>
      <c r="F8" t="s">
        <v>85</v>
      </c>
      <c r="G8">
        <v>38.5</v>
      </c>
      <c r="H8">
        <v>-38.5</v>
      </c>
      <c r="I8" t="s">
        <v>108</v>
      </c>
      <c r="J8">
        <v>2023</v>
      </c>
      <c r="K8" s="248" t="s">
        <v>135</v>
      </c>
    </row>
    <row r="9" spans="1:13" x14ac:dyDescent="0.25">
      <c r="A9" s="115">
        <v>44976</v>
      </c>
      <c r="B9" s="248" t="s">
        <v>120</v>
      </c>
      <c r="C9" s="248" t="s">
        <v>137</v>
      </c>
      <c r="D9">
        <v>-6.5</v>
      </c>
      <c r="F9" t="s">
        <v>85</v>
      </c>
      <c r="G9">
        <v>6.5</v>
      </c>
      <c r="H9">
        <v>-6.5</v>
      </c>
      <c r="I9" t="s">
        <v>108</v>
      </c>
      <c r="J9">
        <v>2023</v>
      </c>
      <c r="K9" s="248" t="s">
        <v>121</v>
      </c>
    </row>
    <row r="10" spans="1:13" x14ac:dyDescent="0.25">
      <c r="A10" s="115">
        <v>44980</v>
      </c>
      <c r="B10" s="248" t="s">
        <v>128</v>
      </c>
      <c r="C10" s="248" t="s">
        <v>139</v>
      </c>
      <c r="D10">
        <v>-67.2</v>
      </c>
      <c r="F10" t="s">
        <v>85</v>
      </c>
      <c r="G10">
        <v>67.2</v>
      </c>
      <c r="H10">
        <v>-67.2</v>
      </c>
      <c r="I10" t="s">
        <v>108</v>
      </c>
      <c r="J10">
        <v>2023</v>
      </c>
      <c r="K10" s="248" t="s">
        <v>138</v>
      </c>
    </row>
    <row r="11" spans="1:13" x14ac:dyDescent="0.25">
      <c r="A11" s="115">
        <v>44985</v>
      </c>
      <c r="B11" s="248" t="s">
        <v>120</v>
      </c>
      <c r="C11" s="248" t="s">
        <v>141</v>
      </c>
      <c r="D11">
        <v>-18.899999999999999</v>
      </c>
      <c r="F11" t="s">
        <v>85</v>
      </c>
      <c r="G11">
        <v>18.899999999999999</v>
      </c>
      <c r="H11">
        <v>-18.899999999999999</v>
      </c>
      <c r="I11" t="s">
        <v>108</v>
      </c>
      <c r="J11">
        <v>2023</v>
      </c>
      <c r="K11" s="248" t="s">
        <v>140</v>
      </c>
    </row>
    <row r="12" spans="1:13" x14ac:dyDescent="0.25">
      <c r="A12" s="115">
        <v>45019</v>
      </c>
      <c r="B12" s="248" t="s">
        <v>123</v>
      </c>
      <c r="C12" s="248" t="s">
        <v>142</v>
      </c>
      <c r="E12">
        <v>320</v>
      </c>
      <c r="F12" t="s">
        <v>86</v>
      </c>
      <c r="G12">
        <v>320</v>
      </c>
      <c r="H12">
        <v>320</v>
      </c>
      <c r="I12" t="s">
        <v>110</v>
      </c>
      <c r="J12">
        <v>2023</v>
      </c>
      <c r="K12" s="248" t="s">
        <v>124</v>
      </c>
    </row>
    <row r="13" spans="1:13" x14ac:dyDescent="0.25">
      <c r="A13" s="115">
        <v>45141</v>
      </c>
      <c r="B13" s="248" t="s">
        <v>143</v>
      </c>
      <c r="C13" s="248" t="s">
        <v>145</v>
      </c>
      <c r="D13">
        <v>-60</v>
      </c>
      <c r="F13" t="s">
        <v>85</v>
      </c>
      <c r="G13">
        <v>60</v>
      </c>
      <c r="H13">
        <v>-60</v>
      </c>
      <c r="I13" t="s">
        <v>114</v>
      </c>
      <c r="J13">
        <v>2023</v>
      </c>
      <c r="K13" s="248" t="s">
        <v>144</v>
      </c>
    </row>
    <row r="14" spans="1:13" x14ac:dyDescent="0.25">
      <c r="A14" s="115">
        <v>44998</v>
      </c>
      <c r="B14" s="248" t="s">
        <v>120</v>
      </c>
      <c r="C14" s="248" t="s">
        <v>147</v>
      </c>
      <c r="D14">
        <v>-47.55</v>
      </c>
      <c r="F14" t="s">
        <v>85</v>
      </c>
      <c r="G14">
        <v>47.55</v>
      </c>
      <c r="H14">
        <v>-47.55</v>
      </c>
      <c r="I14" t="s">
        <v>109</v>
      </c>
      <c r="J14">
        <v>2023</v>
      </c>
      <c r="K14" s="248" t="s">
        <v>146</v>
      </c>
    </row>
    <row r="15" spans="1:13" x14ac:dyDescent="0.25">
      <c r="A15" s="115">
        <v>45007</v>
      </c>
      <c r="B15" s="248" t="s">
        <v>123</v>
      </c>
      <c r="C15" s="248" t="s">
        <v>148</v>
      </c>
      <c r="E15">
        <v>360</v>
      </c>
      <c r="F15" t="s">
        <v>86</v>
      </c>
      <c r="G15">
        <v>360</v>
      </c>
      <c r="H15">
        <v>360</v>
      </c>
      <c r="I15" t="s">
        <v>109</v>
      </c>
      <c r="J15">
        <v>2023</v>
      </c>
      <c r="K15" s="248" t="s">
        <v>133</v>
      </c>
    </row>
    <row r="16" spans="1:13" x14ac:dyDescent="0.25">
      <c r="A16" s="115">
        <v>44930</v>
      </c>
      <c r="B16" s="248" t="s">
        <v>128</v>
      </c>
      <c r="C16" s="248" t="s">
        <v>150</v>
      </c>
      <c r="D16">
        <v>-467</v>
      </c>
      <c r="F16" t="s">
        <v>85</v>
      </c>
      <c r="G16">
        <v>467</v>
      </c>
      <c r="H16">
        <v>-467</v>
      </c>
      <c r="I16" t="s">
        <v>97</v>
      </c>
      <c r="J16">
        <v>2023</v>
      </c>
      <c r="K16" s="248" t="s">
        <v>149</v>
      </c>
    </row>
    <row r="17" spans="1:11" x14ac:dyDescent="0.25">
      <c r="A17" s="115">
        <v>45234</v>
      </c>
      <c r="B17" s="248" t="s">
        <v>120</v>
      </c>
      <c r="C17" s="248" t="s">
        <v>151</v>
      </c>
      <c r="D17">
        <v>-59</v>
      </c>
      <c r="F17" t="s">
        <v>85</v>
      </c>
      <c r="G17">
        <v>59</v>
      </c>
      <c r="H17">
        <v>-59</v>
      </c>
      <c r="I17" t="s">
        <v>80</v>
      </c>
      <c r="J17">
        <v>2023</v>
      </c>
      <c r="K17" s="248" t="s">
        <v>126</v>
      </c>
    </row>
    <row r="18" spans="1:11" x14ac:dyDescent="0.25">
      <c r="A18" s="115">
        <v>45032</v>
      </c>
      <c r="B18" s="248" t="s">
        <v>120</v>
      </c>
      <c r="C18" s="248" t="s">
        <v>122</v>
      </c>
      <c r="D18">
        <v>-78</v>
      </c>
      <c r="F18" t="s">
        <v>85</v>
      </c>
      <c r="G18">
        <v>78</v>
      </c>
      <c r="H18">
        <v>-78</v>
      </c>
      <c r="I18" t="s">
        <v>110</v>
      </c>
      <c r="J18">
        <v>2023</v>
      </c>
      <c r="K18" s="248" t="s">
        <v>121</v>
      </c>
    </row>
    <row r="19" spans="1:11" x14ac:dyDescent="0.25">
      <c r="A19" s="115">
        <v>45039</v>
      </c>
      <c r="B19" s="248" t="s">
        <v>123</v>
      </c>
      <c r="C19" s="248" t="s">
        <v>152</v>
      </c>
      <c r="E19">
        <v>150</v>
      </c>
      <c r="F19" t="s">
        <v>86</v>
      </c>
      <c r="G19">
        <v>150</v>
      </c>
      <c r="H19">
        <v>150</v>
      </c>
      <c r="I19" t="s">
        <v>110</v>
      </c>
      <c r="J19">
        <v>2023</v>
      </c>
      <c r="K19" s="248" t="s">
        <v>124</v>
      </c>
    </row>
    <row r="20" spans="1:11" x14ac:dyDescent="0.25">
      <c r="A20" s="115">
        <v>45046</v>
      </c>
      <c r="B20" s="248" t="s">
        <v>128</v>
      </c>
      <c r="C20" s="248" t="s">
        <v>153</v>
      </c>
      <c r="D20">
        <v>-41.5</v>
      </c>
      <c r="F20" t="s">
        <v>85</v>
      </c>
      <c r="G20">
        <v>41.5</v>
      </c>
      <c r="H20">
        <v>-41.5</v>
      </c>
      <c r="I20" t="s">
        <v>110</v>
      </c>
      <c r="J20">
        <v>2023</v>
      </c>
      <c r="K20" s="248" t="s">
        <v>131</v>
      </c>
    </row>
    <row r="21" spans="1:11" x14ac:dyDescent="0.25">
      <c r="A21" s="115">
        <v>44990</v>
      </c>
      <c r="B21" s="248" t="s">
        <v>120</v>
      </c>
      <c r="C21" s="248" t="s">
        <v>154</v>
      </c>
      <c r="D21">
        <v>-13</v>
      </c>
      <c r="F21" t="s">
        <v>85</v>
      </c>
      <c r="G21">
        <v>13</v>
      </c>
      <c r="H21">
        <v>-13</v>
      </c>
      <c r="I21" t="s">
        <v>109</v>
      </c>
      <c r="J21">
        <v>2023</v>
      </c>
      <c r="K21" s="248" t="s">
        <v>146</v>
      </c>
    </row>
    <row r="22" spans="1:11" x14ac:dyDescent="0.25">
      <c r="A22" s="115">
        <v>45064</v>
      </c>
      <c r="B22" s="248" t="s">
        <v>123</v>
      </c>
      <c r="C22" s="248" t="s">
        <v>125</v>
      </c>
      <c r="E22">
        <v>2260</v>
      </c>
      <c r="F22" t="s">
        <v>86</v>
      </c>
      <c r="G22">
        <v>2260</v>
      </c>
      <c r="H22">
        <v>2260</v>
      </c>
      <c r="I22" t="s">
        <v>111</v>
      </c>
      <c r="J22">
        <v>2023</v>
      </c>
      <c r="K22" s="248" t="s">
        <v>124</v>
      </c>
    </row>
    <row r="23" spans="1:11" x14ac:dyDescent="0.25">
      <c r="A23" s="115">
        <v>44963</v>
      </c>
      <c r="B23" s="248" t="s">
        <v>128</v>
      </c>
      <c r="C23" s="248" t="s">
        <v>139</v>
      </c>
      <c r="D23">
        <v>-59.9</v>
      </c>
      <c r="F23" t="s">
        <v>85</v>
      </c>
      <c r="G23">
        <v>59.9</v>
      </c>
      <c r="H23">
        <v>-59.9</v>
      </c>
      <c r="I23" t="s">
        <v>108</v>
      </c>
      <c r="J23">
        <v>2023</v>
      </c>
      <c r="K23" s="248" t="s">
        <v>138</v>
      </c>
    </row>
    <row r="24" spans="1:11" x14ac:dyDescent="0.25">
      <c r="A24" s="115">
        <v>45175</v>
      </c>
      <c r="B24" s="248" t="s">
        <v>120</v>
      </c>
      <c r="C24" s="248" t="s">
        <v>155</v>
      </c>
      <c r="D24">
        <v>-31.1</v>
      </c>
      <c r="F24" t="s">
        <v>85</v>
      </c>
      <c r="G24">
        <v>31.1</v>
      </c>
      <c r="H24">
        <v>-31.1</v>
      </c>
      <c r="I24" t="s">
        <v>118</v>
      </c>
      <c r="J24">
        <v>2023</v>
      </c>
      <c r="K24" s="248" t="s">
        <v>121</v>
      </c>
    </row>
    <row r="25" spans="1:11" x14ac:dyDescent="0.25">
      <c r="A25" s="115">
        <v>45094</v>
      </c>
      <c r="B25" s="248" t="s">
        <v>128</v>
      </c>
      <c r="C25" s="248" t="s">
        <v>150</v>
      </c>
      <c r="D25">
        <v>-467</v>
      </c>
      <c r="F25" t="s">
        <v>85</v>
      </c>
      <c r="G25">
        <v>467</v>
      </c>
      <c r="H25">
        <v>-467</v>
      </c>
      <c r="I25" t="s">
        <v>112</v>
      </c>
      <c r="J25">
        <v>2023</v>
      </c>
      <c r="K25" s="248" t="s">
        <v>149</v>
      </c>
    </row>
    <row r="26" spans="1:11" x14ac:dyDescent="0.25">
      <c r="A26" s="115">
        <v>45098</v>
      </c>
      <c r="B26" s="248" t="s">
        <v>120</v>
      </c>
      <c r="C26" s="248" t="s">
        <v>156</v>
      </c>
      <c r="D26">
        <v>-24.4</v>
      </c>
      <c r="F26" t="s">
        <v>85</v>
      </c>
      <c r="G26">
        <v>24.4</v>
      </c>
      <c r="H26">
        <v>-24.4</v>
      </c>
      <c r="I26" t="s">
        <v>112</v>
      </c>
      <c r="J26">
        <v>2023</v>
      </c>
      <c r="K26" s="248" t="s">
        <v>126</v>
      </c>
    </row>
    <row r="27" spans="1:11" x14ac:dyDescent="0.25">
      <c r="A27" s="115">
        <v>44933</v>
      </c>
      <c r="B27" s="248" t="s">
        <v>123</v>
      </c>
      <c r="C27" s="248" t="s">
        <v>134</v>
      </c>
      <c r="E27">
        <v>45</v>
      </c>
      <c r="F27" t="s">
        <v>86</v>
      </c>
      <c r="G27">
        <v>45</v>
      </c>
      <c r="H27">
        <v>45</v>
      </c>
      <c r="I27" t="s">
        <v>97</v>
      </c>
      <c r="J27">
        <v>2023</v>
      </c>
      <c r="K27" s="248" t="s">
        <v>133</v>
      </c>
    </row>
    <row r="28" spans="1:11" x14ac:dyDescent="0.25">
      <c r="A28" s="115">
        <v>45267</v>
      </c>
      <c r="B28" s="248" t="s">
        <v>128</v>
      </c>
      <c r="C28" s="248" t="s">
        <v>130</v>
      </c>
      <c r="D28">
        <v>-18.989999999999998</v>
      </c>
      <c r="F28" t="s">
        <v>85</v>
      </c>
      <c r="G28">
        <v>18.989999999999998</v>
      </c>
      <c r="H28">
        <v>-18.989999999999998</v>
      </c>
      <c r="I28" t="s">
        <v>79</v>
      </c>
      <c r="J28">
        <v>2023</v>
      </c>
      <c r="K28" s="248" t="s">
        <v>129</v>
      </c>
    </row>
    <row r="29" spans="1:11" x14ac:dyDescent="0.25">
      <c r="A29" s="115">
        <v>45124</v>
      </c>
      <c r="B29" s="248" t="s">
        <v>120</v>
      </c>
      <c r="C29" s="248" t="s">
        <v>157</v>
      </c>
      <c r="D29">
        <v>-25.4</v>
      </c>
      <c r="F29" t="s">
        <v>85</v>
      </c>
      <c r="G29">
        <v>25.4</v>
      </c>
      <c r="H29">
        <v>-25.4</v>
      </c>
      <c r="I29" t="s">
        <v>113</v>
      </c>
      <c r="J29">
        <v>2023</v>
      </c>
      <c r="K29" s="248" t="s">
        <v>121</v>
      </c>
    </row>
    <row r="30" spans="1:11" x14ac:dyDescent="0.25">
      <c r="A30" s="115">
        <v>45133</v>
      </c>
      <c r="B30" s="248" t="s">
        <v>123</v>
      </c>
      <c r="C30" s="248" t="s">
        <v>142</v>
      </c>
      <c r="E30">
        <v>265</v>
      </c>
      <c r="F30" t="s">
        <v>86</v>
      </c>
      <c r="G30">
        <v>265</v>
      </c>
      <c r="H30">
        <v>265</v>
      </c>
      <c r="I30" t="s">
        <v>113</v>
      </c>
      <c r="J30">
        <v>2023</v>
      </c>
      <c r="K30" s="248" t="s">
        <v>124</v>
      </c>
    </row>
    <row r="31" spans="1:11" x14ac:dyDescent="0.25">
      <c r="A31" s="115">
        <v>45207</v>
      </c>
      <c r="B31" s="248" t="s">
        <v>128</v>
      </c>
      <c r="C31" s="248" t="s">
        <v>158</v>
      </c>
      <c r="D31">
        <v>-16.8</v>
      </c>
      <c r="F31" t="s">
        <v>85</v>
      </c>
      <c r="G31">
        <v>16.8</v>
      </c>
      <c r="H31">
        <v>-16.8</v>
      </c>
      <c r="I31" t="s">
        <v>119</v>
      </c>
      <c r="J31">
        <v>2023</v>
      </c>
      <c r="K31" s="248" t="s">
        <v>131</v>
      </c>
    </row>
    <row r="32" spans="1:11" x14ac:dyDescent="0.25">
      <c r="A32" s="115">
        <v>45161</v>
      </c>
      <c r="B32" s="248" t="s">
        <v>120</v>
      </c>
      <c r="C32" s="248" t="s">
        <v>136</v>
      </c>
      <c r="D32">
        <v>-39.200000000000003</v>
      </c>
      <c r="F32" t="s">
        <v>85</v>
      </c>
      <c r="G32">
        <v>39.200000000000003</v>
      </c>
      <c r="H32">
        <v>-39.200000000000003</v>
      </c>
      <c r="I32" t="s">
        <v>114</v>
      </c>
      <c r="J32">
        <v>2023</v>
      </c>
      <c r="K32" s="248" t="s">
        <v>135</v>
      </c>
    </row>
    <row r="33" spans="1:11" x14ac:dyDescent="0.25">
      <c r="A33" s="115">
        <v>45165</v>
      </c>
      <c r="B33" s="248" t="s">
        <v>123</v>
      </c>
      <c r="C33" s="248" t="s">
        <v>125</v>
      </c>
      <c r="E33">
        <v>2245</v>
      </c>
      <c r="F33" t="s">
        <v>86</v>
      </c>
      <c r="G33">
        <v>2245</v>
      </c>
      <c r="H33">
        <v>2245</v>
      </c>
      <c r="I33" t="s">
        <v>114</v>
      </c>
      <c r="J33">
        <v>2023</v>
      </c>
      <c r="K33" s="248" t="s">
        <v>124</v>
      </c>
    </row>
    <row r="34" spans="1:11" x14ac:dyDescent="0.25">
      <c r="A34" s="115">
        <v>44994</v>
      </c>
      <c r="B34" s="248" t="s">
        <v>128</v>
      </c>
      <c r="C34" s="248" t="s">
        <v>139</v>
      </c>
      <c r="D34">
        <v>-62.3</v>
      </c>
      <c r="F34" t="s">
        <v>85</v>
      </c>
      <c r="G34">
        <v>62.3</v>
      </c>
      <c r="H34">
        <v>-62.3</v>
      </c>
      <c r="I34" t="s">
        <v>109</v>
      </c>
      <c r="J34">
        <v>2023</v>
      </c>
      <c r="K34" s="248" t="s">
        <v>138</v>
      </c>
    </row>
    <row r="35" spans="1:11" x14ac:dyDescent="0.25">
      <c r="A35" s="115">
        <v>45208</v>
      </c>
      <c r="B35" s="248" t="s">
        <v>120</v>
      </c>
      <c r="C35" s="248" t="s">
        <v>141</v>
      </c>
      <c r="D35">
        <v>-11.6</v>
      </c>
      <c r="F35" t="s">
        <v>85</v>
      </c>
      <c r="G35">
        <v>11.6</v>
      </c>
      <c r="H35">
        <v>-11.6</v>
      </c>
      <c r="I35" t="s">
        <v>119</v>
      </c>
      <c r="J35">
        <v>2023</v>
      </c>
      <c r="K35" s="248" t="s">
        <v>140</v>
      </c>
    </row>
    <row r="36" spans="1:11" x14ac:dyDescent="0.25">
      <c r="A36" s="115">
        <v>45190</v>
      </c>
      <c r="B36" s="248" t="s">
        <v>128</v>
      </c>
      <c r="C36" s="248" t="s">
        <v>150</v>
      </c>
      <c r="D36">
        <v>-467</v>
      </c>
      <c r="F36" t="s">
        <v>85</v>
      </c>
      <c r="G36">
        <v>467</v>
      </c>
      <c r="H36">
        <v>-467</v>
      </c>
      <c r="I36" t="s">
        <v>118</v>
      </c>
      <c r="J36">
        <v>2023</v>
      </c>
      <c r="K36" s="248" t="s">
        <v>149</v>
      </c>
    </row>
    <row r="37" spans="1:11" x14ac:dyDescent="0.25">
      <c r="A37" s="115">
        <v>45026</v>
      </c>
      <c r="B37" s="248" t="s">
        <v>123</v>
      </c>
      <c r="C37" s="248" t="s">
        <v>159</v>
      </c>
      <c r="E37">
        <v>180</v>
      </c>
      <c r="F37" t="s">
        <v>86</v>
      </c>
      <c r="G37">
        <v>180</v>
      </c>
      <c r="H37">
        <v>180</v>
      </c>
      <c r="I37" t="s">
        <v>110</v>
      </c>
      <c r="J37">
        <v>2023</v>
      </c>
      <c r="K37" s="248" t="s">
        <v>133</v>
      </c>
    </row>
    <row r="38" spans="1:11" x14ac:dyDescent="0.25">
      <c r="A38" s="115">
        <v>45218</v>
      </c>
      <c r="B38" s="248" t="s">
        <v>128</v>
      </c>
      <c r="C38" s="248" t="s">
        <v>130</v>
      </c>
      <c r="D38">
        <v>-19.989999999999998</v>
      </c>
      <c r="F38" t="s">
        <v>85</v>
      </c>
      <c r="G38">
        <v>19.989999999999998</v>
      </c>
      <c r="H38">
        <v>-19.989999999999998</v>
      </c>
      <c r="I38" t="s">
        <v>119</v>
      </c>
      <c r="J38">
        <v>2023</v>
      </c>
      <c r="K38" s="248" t="s">
        <v>129</v>
      </c>
    </row>
    <row r="39" spans="1:11" x14ac:dyDescent="0.25">
      <c r="A39" s="115">
        <v>45224</v>
      </c>
      <c r="B39" s="248" t="s">
        <v>120</v>
      </c>
      <c r="C39" s="248" t="s">
        <v>160</v>
      </c>
      <c r="D39">
        <v>-186.99</v>
      </c>
      <c r="F39" t="s">
        <v>85</v>
      </c>
      <c r="G39">
        <v>186.99</v>
      </c>
      <c r="H39">
        <v>-186.99</v>
      </c>
      <c r="I39" t="s">
        <v>119</v>
      </c>
      <c r="J39">
        <v>2023</v>
      </c>
      <c r="K39" s="248" t="s">
        <v>146</v>
      </c>
    </row>
    <row r="40" spans="1:11" x14ac:dyDescent="0.25">
      <c r="A40" s="115">
        <v>45230</v>
      </c>
      <c r="B40" s="248" t="s">
        <v>123</v>
      </c>
      <c r="C40" s="248" t="s">
        <v>125</v>
      </c>
      <c r="E40">
        <v>2280</v>
      </c>
      <c r="F40" t="s">
        <v>86</v>
      </c>
      <c r="G40">
        <v>2280</v>
      </c>
      <c r="H40">
        <v>2280</v>
      </c>
      <c r="I40" t="s">
        <v>119</v>
      </c>
      <c r="J40">
        <v>2023</v>
      </c>
      <c r="K40" s="248" t="s">
        <v>124</v>
      </c>
    </row>
    <row r="41" spans="1:11" x14ac:dyDescent="0.25">
      <c r="A41" s="115">
        <v>45149</v>
      </c>
      <c r="B41" s="248" t="s">
        <v>120</v>
      </c>
      <c r="C41" s="248" t="s">
        <v>161</v>
      </c>
      <c r="D41">
        <v>-42.8</v>
      </c>
      <c r="F41" t="s">
        <v>85</v>
      </c>
      <c r="G41">
        <v>42.8</v>
      </c>
      <c r="H41">
        <v>-42.8</v>
      </c>
      <c r="I41" t="s">
        <v>114</v>
      </c>
      <c r="J41">
        <v>2023</v>
      </c>
      <c r="K41" s="248" t="s">
        <v>121</v>
      </c>
    </row>
    <row r="42" spans="1:11" x14ac:dyDescent="0.25">
      <c r="A42" s="115">
        <v>45246</v>
      </c>
      <c r="B42" s="248" t="s">
        <v>120</v>
      </c>
      <c r="C42" s="248" t="s">
        <v>162</v>
      </c>
      <c r="D42">
        <v>-47</v>
      </c>
      <c r="F42" t="s">
        <v>85</v>
      </c>
      <c r="G42">
        <v>47</v>
      </c>
      <c r="H42">
        <v>-47</v>
      </c>
      <c r="I42" t="s">
        <v>80</v>
      </c>
      <c r="J42">
        <v>2023</v>
      </c>
      <c r="K42" s="248" t="s">
        <v>126</v>
      </c>
    </row>
    <row r="43" spans="1:11" x14ac:dyDescent="0.25">
      <c r="A43" s="115">
        <v>45251</v>
      </c>
      <c r="B43" s="248" t="s">
        <v>128</v>
      </c>
      <c r="C43" s="248" t="s">
        <v>139</v>
      </c>
      <c r="D43">
        <v>-69.45</v>
      </c>
      <c r="F43" t="s">
        <v>85</v>
      </c>
      <c r="G43">
        <v>69.45</v>
      </c>
      <c r="H43">
        <v>-69.45</v>
      </c>
      <c r="I43" t="s">
        <v>80</v>
      </c>
      <c r="J43">
        <v>2023</v>
      </c>
      <c r="K43" s="248" t="s">
        <v>138</v>
      </c>
    </row>
    <row r="44" spans="1:11" x14ac:dyDescent="0.25">
      <c r="A44" s="115">
        <v>45089</v>
      </c>
      <c r="B44" s="248" t="s">
        <v>120</v>
      </c>
      <c r="C44" s="248" t="s">
        <v>147</v>
      </c>
      <c r="D44">
        <v>-54.9</v>
      </c>
      <c r="F44" t="s">
        <v>85</v>
      </c>
      <c r="G44">
        <v>54.9</v>
      </c>
      <c r="H44">
        <v>-54.9</v>
      </c>
      <c r="I44" t="s">
        <v>112</v>
      </c>
      <c r="J44">
        <v>2023</v>
      </c>
      <c r="K44" s="248" t="s">
        <v>146</v>
      </c>
    </row>
    <row r="45" spans="1:11" x14ac:dyDescent="0.25">
      <c r="A45" s="115">
        <v>45279</v>
      </c>
      <c r="B45" s="248" t="s">
        <v>128</v>
      </c>
      <c r="C45" s="248" t="s">
        <v>150</v>
      </c>
      <c r="D45">
        <v>-467</v>
      </c>
      <c r="F45" t="s">
        <v>85</v>
      </c>
      <c r="G45">
        <v>467</v>
      </c>
      <c r="H45">
        <v>-467</v>
      </c>
      <c r="I45" t="s">
        <v>79</v>
      </c>
      <c r="J45">
        <v>2023</v>
      </c>
      <c r="K45" s="248" t="s">
        <v>149</v>
      </c>
    </row>
    <row r="46" spans="1:11" x14ac:dyDescent="0.25">
      <c r="A46" s="115">
        <v>45289</v>
      </c>
      <c r="B46" s="248" t="s">
        <v>123</v>
      </c>
      <c r="C46" s="248" t="s">
        <v>152</v>
      </c>
      <c r="E46">
        <v>500</v>
      </c>
      <c r="F46" t="s">
        <v>86</v>
      </c>
      <c r="G46">
        <v>500</v>
      </c>
      <c r="H46">
        <v>500</v>
      </c>
      <c r="I46" t="s">
        <v>79</v>
      </c>
      <c r="J46">
        <v>2023</v>
      </c>
      <c r="K46" s="248" t="s">
        <v>124</v>
      </c>
    </row>
    <row r="47" spans="1:11" x14ac:dyDescent="0.25">
      <c r="A47" s="115">
        <v>45444</v>
      </c>
      <c r="B47" s="248" t="s">
        <v>120</v>
      </c>
      <c r="C47" s="248" t="s">
        <v>122</v>
      </c>
      <c r="D47">
        <v>-62.2</v>
      </c>
      <c r="F47" t="s">
        <v>85</v>
      </c>
      <c r="G47">
        <v>62.2</v>
      </c>
      <c r="H47">
        <v>-62.2</v>
      </c>
      <c r="I47" t="s">
        <v>112</v>
      </c>
      <c r="J47">
        <v>2024</v>
      </c>
      <c r="K47" s="248" t="s">
        <v>121</v>
      </c>
    </row>
    <row r="48" spans="1:11" x14ac:dyDescent="0.25">
      <c r="A48" s="115">
        <v>45306</v>
      </c>
      <c r="B48" s="248" t="s">
        <v>123</v>
      </c>
      <c r="C48" s="248" t="s">
        <v>125</v>
      </c>
      <c r="E48">
        <v>2290</v>
      </c>
      <c r="F48" t="s">
        <v>86</v>
      </c>
      <c r="G48">
        <v>2290</v>
      </c>
      <c r="H48">
        <v>2290</v>
      </c>
      <c r="I48" t="s">
        <v>97</v>
      </c>
      <c r="J48">
        <v>2024</v>
      </c>
      <c r="K48" s="248" t="s">
        <v>124</v>
      </c>
    </row>
    <row r="49" spans="1:11" x14ac:dyDescent="0.25">
      <c r="A49" s="115">
        <v>45314</v>
      </c>
      <c r="B49" s="248" t="s">
        <v>128</v>
      </c>
      <c r="C49" s="248" t="s">
        <v>130</v>
      </c>
      <c r="D49">
        <v>-19.989999999999998</v>
      </c>
      <c r="F49" t="s">
        <v>85</v>
      </c>
      <c r="G49">
        <v>19.989999999999998</v>
      </c>
      <c r="H49">
        <v>-19.989999999999998</v>
      </c>
      <c r="I49" t="s">
        <v>97</v>
      </c>
      <c r="J49">
        <v>2024</v>
      </c>
      <c r="K49" s="248" t="s">
        <v>129</v>
      </c>
    </row>
    <row r="50" spans="1:11" x14ac:dyDescent="0.25">
      <c r="A50" s="115">
        <v>45598</v>
      </c>
      <c r="B50" s="248" t="s">
        <v>123</v>
      </c>
      <c r="C50" s="248" t="s">
        <v>148</v>
      </c>
      <c r="E50">
        <v>325</v>
      </c>
      <c r="F50" t="s">
        <v>86</v>
      </c>
      <c r="G50">
        <v>325</v>
      </c>
      <c r="H50">
        <v>325</v>
      </c>
      <c r="I50" t="s">
        <v>80</v>
      </c>
      <c r="J50">
        <v>2024</v>
      </c>
      <c r="K50" s="248" t="s">
        <v>133</v>
      </c>
    </row>
    <row r="51" spans="1:11" x14ac:dyDescent="0.25">
      <c r="A51" s="115">
        <v>45342</v>
      </c>
      <c r="B51" s="248" t="s">
        <v>120</v>
      </c>
      <c r="C51" s="248" t="s">
        <v>137</v>
      </c>
      <c r="D51">
        <v>-10.5</v>
      </c>
      <c r="F51" t="s">
        <v>85</v>
      </c>
      <c r="G51">
        <v>10.5</v>
      </c>
      <c r="H51">
        <v>-10.5</v>
      </c>
      <c r="I51" t="s">
        <v>108</v>
      </c>
      <c r="J51">
        <v>2024</v>
      </c>
      <c r="K51" s="248" t="s">
        <v>121</v>
      </c>
    </row>
    <row r="52" spans="1:11" x14ac:dyDescent="0.25">
      <c r="A52" s="115">
        <v>45325</v>
      </c>
      <c r="B52" s="248" t="s">
        <v>128</v>
      </c>
      <c r="C52" s="248" t="s">
        <v>139</v>
      </c>
      <c r="D52">
        <v>-67.2</v>
      </c>
      <c r="F52" t="s">
        <v>85</v>
      </c>
      <c r="G52">
        <v>67.2</v>
      </c>
      <c r="H52">
        <v>-67.2</v>
      </c>
      <c r="I52" t="s">
        <v>108</v>
      </c>
      <c r="J52">
        <v>2024</v>
      </c>
      <c r="K52" s="248" t="s">
        <v>138</v>
      </c>
    </row>
    <row r="53" spans="1:11" x14ac:dyDescent="0.25">
      <c r="A53" s="115">
        <v>45568</v>
      </c>
      <c r="B53" s="248" t="s">
        <v>120</v>
      </c>
      <c r="C53" s="248" t="s">
        <v>141</v>
      </c>
      <c r="D53">
        <v>-26.9</v>
      </c>
      <c r="F53" t="s">
        <v>85</v>
      </c>
      <c r="G53">
        <v>26.9</v>
      </c>
      <c r="H53">
        <v>-26.9</v>
      </c>
      <c r="I53" t="s">
        <v>119</v>
      </c>
      <c r="J53">
        <v>2024</v>
      </c>
      <c r="K53" s="248" t="s">
        <v>140</v>
      </c>
    </row>
    <row r="54" spans="1:11" x14ac:dyDescent="0.25">
      <c r="A54" s="115">
        <v>45372</v>
      </c>
      <c r="B54" s="248" t="s">
        <v>123</v>
      </c>
      <c r="C54" s="248" t="s">
        <v>142</v>
      </c>
      <c r="E54">
        <v>380</v>
      </c>
      <c r="F54" t="s">
        <v>86</v>
      </c>
      <c r="G54">
        <v>380</v>
      </c>
      <c r="H54">
        <v>380</v>
      </c>
      <c r="I54" t="s">
        <v>109</v>
      </c>
      <c r="J54">
        <v>2024</v>
      </c>
      <c r="K54" s="248" t="s">
        <v>124</v>
      </c>
    </row>
    <row r="55" spans="1:11" x14ac:dyDescent="0.25">
      <c r="A55" s="115">
        <v>45382</v>
      </c>
      <c r="B55" s="248" t="s">
        <v>128</v>
      </c>
      <c r="C55" s="248" t="s">
        <v>150</v>
      </c>
      <c r="D55">
        <v>-467</v>
      </c>
      <c r="F55" t="s">
        <v>85</v>
      </c>
      <c r="G55">
        <v>467</v>
      </c>
      <c r="H55">
        <v>-467</v>
      </c>
      <c r="I55" t="s">
        <v>109</v>
      </c>
      <c r="J55">
        <v>2024</v>
      </c>
      <c r="K55" s="248" t="s">
        <v>149</v>
      </c>
    </row>
    <row r="56" spans="1:11" x14ac:dyDescent="0.25">
      <c r="A56" s="115">
        <v>45539</v>
      </c>
      <c r="B56" s="248" t="s">
        <v>120</v>
      </c>
      <c r="C56" s="248" t="s">
        <v>156</v>
      </c>
      <c r="D56">
        <v>-18.350000000000001</v>
      </c>
      <c r="F56" t="s">
        <v>85</v>
      </c>
      <c r="G56">
        <v>18.350000000000001</v>
      </c>
      <c r="H56">
        <v>-18.350000000000001</v>
      </c>
      <c r="I56" t="s">
        <v>118</v>
      </c>
      <c r="J56">
        <v>2024</v>
      </c>
      <c r="K56" s="248" t="s">
        <v>126</v>
      </c>
    </row>
    <row r="57" spans="1:11" x14ac:dyDescent="0.25">
      <c r="A57" s="115">
        <v>45399</v>
      </c>
      <c r="B57" s="248" t="s">
        <v>120</v>
      </c>
      <c r="C57" s="248" t="s">
        <v>154</v>
      </c>
      <c r="D57">
        <v>-34.1</v>
      </c>
      <c r="F57" t="s">
        <v>85</v>
      </c>
      <c r="G57">
        <v>34.1</v>
      </c>
      <c r="H57">
        <v>-34.1</v>
      </c>
      <c r="I57" t="s">
        <v>110</v>
      </c>
      <c r="J57">
        <v>2024</v>
      </c>
      <c r="K57" s="248" t="s">
        <v>146</v>
      </c>
    </row>
    <row r="58" spans="1:11" x14ac:dyDescent="0.25">
      <c r="A58" s="115">
        <v>45409</v>
      </c>
      <c r="B58" s="248" t="s">
        <v>123</v>
      </c>
      <c r="C58" s="248" t="s">
        <v>134</v>
      </c>
      <c r="E58">
        <v>65</v>
      </c>
      <c r="F58" t="s">
        <v>86</v>
      </c>
      <c r="G58">
        <v>65</v>
      </c>
      <c r="H58">
        <v>65</v>
      </c>
      <c r="I58" t="s">
        <v>110</v>
      </c>
      <c r="J58">
        <v>2024</v>
      </c>
      <c r="K58" s="248" t="s">
        <v>133</v>
      </c>
    </row>
    <row r="59" spans="1:11" x14ac:dyDescent="0.25">
      <c r="A59" s="115">
        <v>45448</v>
      </c>
      <c r="B59" s="248" t="s">
        <v>128</v>
      </c>
      <c r="C59" s="248" t="s">
        <v>132</v>
      </c>
      <c r="D59">
        <v>-19.55</v>
      </c>
      <c r="F59" t="s">
        <v>85</v>
      </c>
      <c r="G59">
        <v>19.55</v>
      </c>
      <c r="H59">
        <v>-19.55</v>
      </c>
      <c r="I59" t="s">
        <v>112</v>
      </c>
      <c r="J59">
        <v>2024</v>
      </c>
      <c r="K59" s="248" t="s">
        <v>131</v>
      </c>
    </row>
    <row r="60" spans="1:11" x14ac:dyDescent="0.25">
      <c r="A60" s="115">
        <v>45431</v>
      </c>
      <c r="B60" s="248" t="s">
        <v>120</v>
      </c>
      <c r="C60" s="248" t="s">
        <v>122</v>
      </c>
      <c r="D60">
        <v>-83.75</v>
      </c>
      <c r="F60" t="s">
        <v>85</v>
      </c>
      <c r="G60">
        <v>83.75</v>
      </c>
      <c r="H60">
        <v>-83.75</v>
      </c>
      <c r="I60" t="s">
        <v>111</v>
      </c>
      <c r="J60">
        <v>2024</v>
      </c>
      <c r="K60" s="248" t="s">
        <v>121</v>
      </c>
    </row>
    <row r="61" spans="1:11" x14ac:dyDescent="0.25">
      <c r="A61" s="115">
        <v>45441</v>
      </c>
      <c r="B61" s="248" t="s">
        <v>120</v>
      </c>
      <c r="C61" s="248" t="s">
        <v>127</v>
      </c>
      <c r="D61">
        <v>-29</v>
      </c>
      <c r="F61" t="s">
        <v>85</v>
      </c>
      <c r="G61">
        <v>29</v>
      </c>
      <c r="H61">
        <v>-29</v>
      </c>
      <c r="I61" t="s">
        <v>111</v>
      </c>
      <c r="J61">
        <v>2024</v>
      </c>
      <c r="K61" s="248" t="s">
        <v>126</v>
      </c>
    </row>
    <row r="62" spans="1:11" x14ac:dyDescent="0.25">
      <c r="A62" s="115">
        <v>45571</v>
      </c>
      <c r="B62" s="248" t="s">
        <v>123</v>
      </c>
      <c r="C62" s="248" t="s">
        <v>125</v>
      </c>
      <c r="E62">
        <v>2340</v>
      </c>
      <c r="F62" t="s">
        <v>86</v>
      </c>
      <c r="G62">
        <v>2340</v>
      </c>
      <c r="H62">
        <v>2340</v>
      </c>
      <c r="I62" t="s">
        <v>119</v>
      </c>
      <c r="J62">
        <v>2024</v>
      </c>
      <c r="K62" s="248" t="s">
        <v>124</v>
      </c>
    </row>
    <row r="63" spans="1:11" x14ac:dyDescent="0.25">
      <c r="A63" s="115">
        <v>45466</v>
      </c>
      <c r="B63" s="248" t="s">
        <v>128</v>
      </c>
      <c r="C63" s="248" t="s">
        <v>139</v>
      </c>
      <c r="D63">
        <v>-69.2</v>
      </c>
      <c r="F63" t="s">
        <v>85</v>
      </c>
      <c r="G63">
        <v>69.2</v>
      </c>
      <c r="H63">
        <v>-69.2</v>
      </c>
      <c r="I63" t="s">
        <v>112</v>
      </c>
      <c r="J63">
        <v>2024</v>
      </c>
      <c r="K63" s="248" t="s">
        <v>138</v>
      </c>
    </row>
    <row r="64" spans="1:11" x14ac:dyDescent="0.25">
      <c r="A64" s="115">
        <v>45419</v>
      </c>
      <c r="B64" s="248" t="s">
        <v>120</v>
      </c>
      <c r="C64" s="248" t="s">
        <v>136</v>
      </c>
      <c r="D64">
        <v>-46.7</v>
      </c>
      <c r="F64" t="s">
        <v>85</v>
      </c>
      <c r="G64">
        <v>46.7</v>
      </c>
      <c r="H64">
        <v>-46.7</v>
      </c>
      <c r="I64" t="s">
        <v>111</v>
      </c>
      <c r="J64">
        <v>2024</v>
      </c>
      <c r="K64" s="248" t="s">
        <v>135</v>
      </c>
    </row>
    <row r="65" spans="1:11" x14ac:dyDescent="0.25">
      <c r="A65" s="115">
        <v>45489</v>
      </c>
      <c r="B65" s="248" t="s">
        <v>128</v>
      </c>
      <c r="C65" s="248" t="s">
        <v>150</v>
      </c>
      <c r="D65">
        <v>-467</v>
      </c>
      <c r="F65" t="s">
        <v>85</v>
      </c>
      <c r="G65">
        <v>467</v>
      </c>
      <c r="H65">
        <v>-467</v>
      </c>
      <c r="I65" t="s">
        <v>113</v>
      </c>
      <c r="J65">
        <v>2024</v>
      </c>
      <c r="K65" s="248" t="s">
        <v>149</v>
      </c>
    </row>
    <row r="66" spans="1:11" x14ac:dyDescent="0.25">
      <c r="A66" s="115">
        <v>45496</v>
      </c>
      <c r="B66" s="248" t="s">
        <v>123</v>
      </c>
      <c r="C66" s="248" t="s">
        <v>142</v>
      </c>
      <c r="E66">
        <v>420</v>
      </c>
      <c r="F66" t="s">
        <v>86</v>
      </c>
      <c r="G66">
        <v>420</v>
      </c>
      <c r="H66">
        <v>420</v>
      </c>
      <c r="I66" t="s">
        <v>113</v>
      </c>
      <c r="J66">
        <v>2024</v>
      </c>
      <c r="K66" s="248" t="s">
        <v>124</v>
      </c>
    </row>
    <row r="67" spans="1:11" x14ac:dyDescent="0.25">
      <c r="A67" s="115">
        <v>45504</v>
      </c>
      <c r="B67" s="248" t="s">
        <v>128</v>
      </c>
      <c r="C67" s="248" t="s">
        <v>130</v>
      </c>
      <c r="D67">
        <v>-20.6</v>
      </c>
      <c r="F67" t="s">
        <v>85</v>
      </c>
      <c r="G67">
        <v>20.6</v>
      </c>
      <c r="H67">
        <v>-20.6</v>
      </c>
      <c r="I67" t="s">
        <v>113</v>
      </c>
      <c r="J67">
        <v>2024</v>
      </c>
      <c r="K67" s="248" t="s">
        <v>129</v>
      </c>
    </row>
    <row r="68" spans="1:11" x14ac:dyDescent="0.25">
      <c r="A68" s="115">
        <v>45604</v>
      </c>
      <c r="B68" s="248" t="s">
        <v>120</v>
      </c>
      <c r="C68" s="248" t="s">
        <v>147</v>
      </c>
      <c r="D68">
        <v>-32.25</v>
      </c>
      <c r="F68" t="s">
        <v>85</v>
      </c>
      <c r="G68">
        <v>32.25</v>
      </c>
      <c r="H68">
        <v>-32.25</v>
      </c>
      <c r="I68" t="s">
        <v>80</v>
      </c>
      <c r="J68">
        <v>2024</v>
      </c>
      <c r="K68" s="248" t="s">
        <v>146</v>
      </c>
    </row>
    <row r="69" spans="1:11" x14ac:dyDescent="0.25">
      <c r="A69" s="115">
        <v>45525</v>
      </c>
      <c r="B69" s="248" t="s">
        <v>120</v>
      </c>
      <c r="C69" s="248" t="s">
        <v>155</v>
      </c>
      <c r="D69">
        <v>-39.299999999999997</v>
      </c>
      <c r="F69" t="s">
        <v>85</v>
      </c>
      <c r="G69">
        <v>39.299999999999997</v>
      </c>
      <c r="H69">
        <v>-39.299999999999997</v>
      </c>
      <c r="I69" t="s">
        <v>114</v>
      </c>
      <c r="J69">
        <v>2024</v>
      </c>
      <c r="K69" s="248" t="s">
        <v>121</v>
      </c>
    </row>
    <row r="70" spans="1:11" x14ac:dyDescent="0.25">
      <c r="A70" s="115">
        <v>45300</v>
      </c>
      <c r="B70" s="248" t="s">
        <v>128</v>
      </c>
      <c r="C70" s="248" t="s">
        <v>158</v>
      </c>
      <c r="D70">
        <v>-15.4</v>
      </c>
      <c r="F70" t="s">
        <v>85</v>
      </c>
      <c r="G70">
        <v>15.4</v>
      </c>
      <c r="H70">
        <v>-15.4</v>
      </c>
      <c r="I70" t="s">
        <v>97</v>
      </c>
      <c r="J70">
        <v>2024</v>
      </c>
      <c r="K70" s="248" t="s">
        <v>131</v>
      </c>
    </row>
    <row r="71" spans="1:11" x14ac:dyDescent="0.25">
      <c r="A71" s="115">
        <v>45550</v>
      </c>
      <c r="B71" s="248" t="s">
        <v>123</v>
      </c>
      <c r="C71" s="248" t="s">
        <v>134</v>
      </c>
      <c r="E71">
        <v>110</v>
      </c>
      <c r="F71" t="s">
        <v>86</v>
      </c>
      <c r="G71">
        <v>110</v>
      </c>
      <c r="H71">
        <v>110</v>
      </c>
      <c r="I71" t="s">
        <v>118</v>
      </c>
      <c r="J71">
        <v>2024</v>
      </c>
      <c r="K71" s="248" t="s">
        <v>133</v>
      </c>
    </row>
    <row r="72" spans="1:11" x14ac:dyDescent="0.25">
      <c r="A72" s="115">
        <v>45564</v>
      </c>
      <c r="B72" s="248" t="s">
        <v>120</v>
      </c>
      <c r="C72" s="248" t="s">
        <v>162</v>
      </c>
      <c r="D72">
        <v>-52</v>
      </c>
      <c r="F72" t="s">
        <v>85</v>
      </c>
      <c r="G72">
        <v>52</v>
      </c>
      <c r="H72">
        <v>-52</v>
      </c>
      <c r="I72" t="s">
        <v>118</v>
      </c>
      <c r="J72">
        <v>2024</v>
      </c>
      <c r="K72" s="248" t="s">
        <v>126</v>
      </c>
    </row>
    <row r="73" spans="1:11" x14ac:dyDescent="0.25">
      <c r="A73" s="115">
        <v>45636</v>
      </c>
      <c r="B73" s="248" t="s">
        <v>123</v>
      </c>
      <c r="C73" s="248" t="s">
        <v>125</v>
      </c>
      <c r="E73">
        <v>2375</v>
      </c>
      <c r="F73" t="s">
        <v>86</v>
      </c>
      <c r="G73">
        <v>2375</v>
      </c>
      <c r="H73">
        <v>2375</v>
      </c>
      <c r="I73" t="s">
        <v>79</v>
      </c>
      <c r="J73">
        <v>2024</v>
      </c>
      <c r="K73" s="248" t="s">
        <v>124</v>
      </c>
    </row>
    <row r="74" spans="1:11" x14ac:dyDescent="0.25">
      <c r="A74" s="115">
        <v>45589</v>
      </c>
      <c r="B74" s="248" t="s">
        <v>128</v>
      </c>
      <c r="C74" s="248" t="s">
        <v>139</v>
      </c>
      <c r="D74">
        <v>-70.8</v>
      </c>
      <c r="F74" t="s">
        <v>85</v>
      </c>
      <c r="G74">
        <v>70.8</v>
      </c>
      <c r="H74">
        <v>-70.8</v>
      </c>
      <c r="I74" t="s">
        <v>119</v>
      </c>
      <c r="J74">
        <v>2024</v>
      </c>
      <c r="K74" s="248" t="s">
        <v>138</v>
      </c>
    </row>
    <row r="75" spans="1:11" x14ac:dyDescent="0.25">
      <c r="A75" s="115">
        <v>45484</v>
      </c>
      <c r="B75" s="248" t="s">
        <v>120</v>
      </c>
      <c r="C75" s="248" t="s">
        <v>141</v>
      </c>
      <c r="D75">
        <v>-20.25</v>
      </c>
      <c r="F75" t="s">
        <v>85</v>
      </c>
      <c r="G75">
        <v>20.25</v>
      </c>
      <c r="H75">
        <v>-20.25</v>
      </c>
      <c r="I75" t="s">
        <v>113</v>
      </c>
      <c r="J75">
        <v>2024</v>
      </c>
      <c r="K75" s="248" t="s">
        <v>140</v>
      </c>
    </row>
    <row r="76" spans="1:11" x14ac:dyDescent="0.25">
      <c r="A76" s="115">
        <v>45616</v>
      </c>
      <c r="B76" s="248" t="s">
        <v>128</v>
      </c>
      <c r="C76" s="248" t="s">
        <v>150</v>
      </c>
      <c r="D76">
        <v>-467</v>
      </c>
      <c r="F76" t="s">
        <v>85</v>
      </c>
      <c r="G76">
        <v>467</v>
      </c>
      <c r="H76">
        <v>-467</v>
      </c>
      <c r="I76" t="s">
        <v>80</v>
      </c>
      <c r="J76">
        <v>2024</v>
      </c>
      <c r="K76" s="248" t="s">
        <v>149</v>
      </c>
    </row>
    <row r="77" spans="1:11" x14ac:dyDescent="0.25">
      <c r="A77" s="115">
        <v>45394</v>
      </c>
      <c r="B77" s="248" t="s">
        <v>123</v>
      </c>
      <c r="C77" s="248" t="s">
        <v>152</v>
      </c>
      <c r="E77">
        <v>250</v>
      </c>
      <c r="F77" t="s">
        <v>86</v>
      </c>
      <c r="G77">
        <v>250</v>
      </c>
      <c r="H77">
        <v>250</v>
      </c>
      <c r="I77" t="s">
        <v>110</v>
      </c>
      <c r="J77">
        <v>2024</v>
      </c>
      <c r="K77" s="248" t="s">
        <v>124</v>
      </c>
    </row>
    <row r="78" spans="1:11" x14ac:dyDescent="0.25">
      <c r="A78" s="115">
        <v>45642</v>
      </c>
      <c r="B78" s="248" t="s">
        <v>128</v>
      </c>
      <c r="C78" s="248" t="s">
        <v>130</v>
      </c>
      <c r="D78">
        <v>-20.6</v>
      </c>
      <c r="F78" t="s">
        <v>85</v>
      </c>
      <c r="G78">
        <v>20.6</v>
      </c>
      <c r="H78">
        <v>-20.6</v>
      </c>
      <c r="I78" t="s">
        <v>79</v>
      </c>
      <c r="J78">
        <v>2024</v>
      </c>
      <c r="K78" s="248" t="s">
        <v>129</v>
      </c>
    </row>
    <row r="79" spans="1:11" x14ac:dyDescent="0.25">
      <c r="A79" s="115">
        <v>45652</v>
      </c>
      <c r="B79" s="248" t="s">
        <v>120</v>
      </c>
      <c r="C79" s="248" t="s">
        <v>127</v>
      </c>
      <c r="D79">
        <v>-21.3</v>
      </c>
      <c r="F79" t="s">
        <v>85</v>
      </c>
      <c r="G79">
        <v>21.3</v>
      </c>
      <c r="H79">
        <v>-21.3</v>
      </c>
      <c r="I79" t="s">
        <v>79</v>
      </c>
      <c r="J79">
        <v>2024</v>
      </c>
      <c r="K79" s="248" t="s">
        <v>126</v>
      </c>
    </row>
    <row r="80" spans="1:11" x14ac:dyDescent="0.25">
      <c r="A80" s="115">
        <v>45717</v>
      </c>
      <c r="B80" s="248" t="s">
        <v>120</v>
      </c>
      <c r="C80" s="248" t="s">
        <v>122</v>
      </c>
      <c r="D80">
        <v>-70.8</v>
      </c>
      <c r="F80" t="s">
        <v>85</v>
      </c>
      <c r="G80">
        <v>70.8</v>
      </c>
      <c r="H80">
        <v>-70.8</v>
      </c>
      <c r="I80" t="s">
        <v>109</v>
      </c>
      <c r="J80">
        <v>2025</v>
      </c>
      <c r="K80" s="248" t="s">
        <v>121</v>
      </c>
    </row>
    <row r="81" spans="1:11" x14ac:dyDescent="0.25">
      <c r="A81" s="115">
        <v>45672</v>
      </c>
      <c r="B81" s="248" t="s">
        <v>123</v>
      </c>
      <c r="C81" s="248" t="s">
        <v>125</v>
      </c>
      <c r="E81">
        <v>2400</v>
      </c>
      <c r="F81" t="s">
        <v>86</v>
      </c>
      <c r="G81">
        <v>2400</v>
      </c>
      <c r="H81">
        <v>2400</v>
      </c>
      <c r="I81" t="s">
        <v>97</v>
      </c>
      <c r="J81">
        <v>2025</v>
      </c>
      <c r="K81" s="248" t="s">
        <v>124</v>
      </c>
    </row>
    <row r="82" spans="1:11" x14ac:dyDescent="0.25">
      <c r="A82" s="115">
        <v>45679</v>
      </c>
      <c r="B82" s="248" t="s">
        <v>128</v>
      </c>
      <c r="C82" s="248" t="s">
        <v>132</v>
      </c>
      <c r="D82">
        <v>-22.1</v>
      </c>
      <c r="F82" t="s">
        <v>85</v>
      </c>
      <c r="G82">
        <v>22.1</v>
      </c>
      <c r="H82">
        <v>-22.1</v>
      </c>
      <c r="I82" t="s">
        <v>97</v>
      </c>
      <c r="J82">
        <v>2025</v>
      </c>
      <c r="K82" s="248" t="s">
        <v>131</v>
      </c>
    </row>
    <row r="83" spans="1:11" x14ac:dyDescent="0.25">
      <c r="A83" s="115">
        <v>45690</v>
      </c>
      <c r="B83" s="248" t="s">
        <v>123</v>
      </c>
      <c r="C83" s="248" t="s">
        <v>148</v>
      </c>
      <c r="E83">
        <v>255</v>
      </c>
      <c r="F83" t="s">
        <v>86</v>
      </c>
      <c r="G83">
        <v>255</v>
      </c>
      <c r="H83">
        <v>255</v>
      </c>
      <c r="I83" t="s">
        <v>108</v>
      </c>
      <c r="J83">
        <v>2025</v>
      </c>
      <c r="K83" s="248" t="s">
        <v>133</v>
      </c>
    </row>
    <row r="84" spans="1:11" x14ac:dyDescent="0.25">
      <c r="A84" s="115">
        <v>45963</v>
      </c>
      <c r="B84" s="248" t="s">
        <v>120</v>
      </c>
      <c r="C84" s="248" t="s">
        <v>147</v>
      </c>
      <c r="D84">
        <v>-23.5</v>
      </c>
      <c r="F84" t="s">
        <v>85</v>
      </c>
      <c r="G84">
        <v>23.5</v>
      </c>
      <c r="H84">
        <v>-23.5</v>
      </c>
      <c r="I84" t="s">
        <v>80</v>
      </c>
      <c r="J84">
        <v>2025</v>
      </c>
      <c r="K84" s="248" t="s">
        <v>146</v>
      </c>
    </row>
    <row r="85" spans="1:11" x14ac:dyDescent="0.25">
      <c r="A85" s="115">
        <v>45710</v>
      </c>
      <c r="B85" s="248" t="s">
        <v>128</v>
      </c>
      <c r="C85" s="248" t="s">
        <v>150</v>
      </c>
      <c r="D85">
        <v>-467</v>
      </c>
      <c r="F85" t="s">
        <v>85</v>
      </c>
      <c r="G85">
        <v>467</v>
      </c>
      <c r="H85">
        <v>-467</v>
      </c>
      <c r="I85" t="s">
        <v>108</v>
      </c>
      <c r="J85">
        <v>2025</v>
      </c>
      <c r="K85" s="248" t="s">
        <v>149</v>
      </c>
    </row>
    <row r="86" spans="1:11" x14ac:dyDescent="0.25">
      <c r="A86" s="115">
        <v>45660</v>
      </c>
      <c r="B86" s="248" t="s">
        <v>120</v>
      </c>
      <c r="C86" s="248" t="s">
        <v>162</v>
      </c>
      <c r="D86">
        <v>-34</v>
      </c>
      <c r="F86" t="s">
        <v>85</v>
      </c>
      <c r="G86">
        <v>34</v>
      </c>
      <c r="H86">
        <v>-34</v>
      </c>
      <c r="I86" t="s">
        <v>97</v>
      </c>
      <c r="J86">
        <v>2025</v>
      </c>
      <c r="K86" s="248" t="s">
        <v>126</v>
      </c>
    </row>
    <row r="87" spans="1:11" x14ac:dyDescent="0.25">
      <c r="A87" s="115">
        <v>45730</v>
      </c>
      <c r="B87" s="248" t="s">
        <v>123</v>
      </c>
      <c r="C87" s="248" t="s">
        <v>142</v>
      </c>
      <c r="E87">
        <v>400</v>
      </c>
      <c r="F87" t="s">
        <v>86</v>
      </c>
      <c r="G87">
        <v>400</v>
      </c>
      <c r="H87">
        <v>400</v>
      </c>
      <c r="I87" t="s">
        <v>109</v>
      </c>
      <c r="J87">
        <v>2025</v>
      </c>
      <c r="K87" s="248" t="s">
        <v>124</v>
      </c>
    </row>
    <row r="88" spans="1:11" x14ac:dyDescent="0.25">
      <c r="A88" s="115">
        <v>45745</v>
      </c>
      <c r="B88" s="248" t="s">
        <v>120</v>
      </c>
      <c r="C88" s="248" t="s">
        <v>137</v>
      </c>
      <c r="D88">
        <v>-19.100000000000001</v>
      </c>
      <c r="F88" t="s">
        <v>85</v>
      </c>
      <c r="G88">
        <v>19.100000000000001</v>
      </c>
      <c r="H88">
        <v>-19.100000000000001</v>
      </c>
      <c r="I88" t="s">
        <v>109</v>
      </c>
      <c r="J88">
        <v>2025</v>
      </c>
      <c r="K88" s="248" t="s">
        <v>121</v>
      </c>
    </row>
    <row r="89" spans="1:11" x14ac:dyDescent="0.25">
      <c r="A89" s="115">
        <v>45751</v>
      </c>
      <c r="B89" s="248" t="s">
        <v>128</v>
      </c>
      <c r="C89" s="248" t="s">
        <v>139</v>
      </c>
      <c r="D89">
        <v>-72.5</v>
      </c>
      <c r="F89" t="s">
        <v>85</v>
      </c>
      <c r="G89">
        <v>72.5</v>
      </c>
      <c r="H89">
        <v>-72.5</v>
      </c>
      <c r="I89" t="s">
        <v>110</v>
      </c>
      <c r="J89">
        <v>2025</v>
      </c>
      <c r="K89" s="248" t="s">
        <v>138</v>
      </c>
    </row>
    <row r="90" spans="1:11" x14ac:dyDescent="0.25">
      <c r="A90" s="115">
        <v>45767</v>
      </c>
      <c r="B90" s="248" t="s">
        <v>120</v>
      </c>
      <c r="C90" s="248" t="s">
        <v>151</v>
      </c>
      <c r="D90">
        <v>-88</v>
      </c>
      <c r="F90" t="s">
        <v>85</v>
      </c>
      <c r="G90">
        <v>88</v>
      </c>
      <c r="H90">
        <v>-88</v>
      </c>
      <c r="I90" t="s">
        <v>110</v>
      </c>
      <c r="J90">
        <v>2025</v>
      </c>
      <c r="K90" s="248" t="s">
        <v>126</v>
      </c>
    </row>
    <row r="91" spans="1:11" x14ac:dyDescent="0.25">
      <c r="A91" s="115">
        <v>45777</v>
      </c>
      <c r="B91" s="248" t="s">
        <v>123</v>
      </c>
      <c r="C91" s="248" t="s">
        <v>125</v>
      </c>
      <c r="E91">
        <v>2450</v>
      </c>
      <c r="F91" t="s">
        <v>86</v>
      </c>
      <c r="G91">
        <v>2450</v>
      </c>
      <c r="H91">
        <v>2450</v>
      </c>
      <c r="I91" t="s">
        <v>110</v>
      </c>
      <c r="J91">
        <v>2025</v>
      </c>
      <c r="K91" s="248" t="s">
        <v>124</v>
      </c>
    </row>
    <row r="92" spans="1:11" x14ac:dyDescent="0.25">
      <c r="A92" s="115">
        <v>45996</v>
      </c>
      <c r="B92" s="248" t="s">
        <v>128</v>
      </c>
      <c r="C92" s="248" t="s">
        <v>130</v>
      </c>
      <c r="D92">
        <v>-22.1</v>
      </c>
      <c r="F92" t="s">
        <v>85</v>
      </c>
      <c r="G92">
        <v>22.1</v>
      </c>
      <c r="H92">
        <v>-22.1</v>
      </c>
      <c r="I92" t="s">
        <v>79</v>
      </c>
      <c r="J92">
        <v>2025</v>
      </c>
      <c r="K92" s="248" t="s">
        <v>129</v>
      </c>
    </row>
    <row r="93" spans="1:11" x14ac:dyDescent="0.25">
      <c r="A93" s="115">
        <v>45801</v>
      </c>
      <c r="B93" s="248" t="s">
        <v>120</v>
      </c>
      <c r="C93" s="248" t="s">
        <v>155</v>
      </c>
      <c r="D93">
        <v>-33.4</v>
      </c>
      <c r="F93" t="s">
        <v>85</v>
      </c>
      <c r="G93">
        <v>33.4</v>
      </c>
      <c r="H93">
        <v>-33.4</v>
      </c>
      <c r="I93" t="s">
        <v>111</v>
      </c>
      <c r="J93">
        <v>2025</v>
      </c>
      <c r="K93" s="248" t="s">
        <v>121</v>
      </c>
    </row>
    <row r="94" spans="1:11" x14ac:dyDescent="0.25">
      <c r="A94" s="115">
        <v>45906</v>
      </c>
      <c r="B94" s="248" t="s">
        <v>128</v>
      </c>
      <c r="C94" s="248" t="s">
        <v>150</v>
      </c>
      <c r="D94">
        <v>-467</v>
      </c>
      <c r="F94" t="s">
        <v>85</v>
      </c>
      <c r="G94">
        <v>467</v>
      </c>
      <c r="H94">
        <v>-467</v>
      </c>
      <c r="I94" t="s">
        <v>118</v>
      </c>
      <c r="J94">
        <v>2025</v>
      </c>
      <c r="K94" s="248" t="s">
        <v>149</v>
      </c>
    </row>
    <row r="95" spans="1:11" x14ac:dyDescent="0.25">
      <c r="A95" s="115">
        <v>45829</v>
      </c>
      <c r="B95" s="248" t="s">
        <v>123</v>
      </c>
      <c r="C95" s="248" t="s">
        <v>134</v>
      </c>
      <c r="E95">
        <v>220</v>
      </c>
      <c r="F95" t="s">
        <v>86</v>
      </c>
      <c r="G95">
        <v>220</v>
      </c>
      <c r="H95">
        <v>220</v>
      </c>
      <c r="I95" t="s">
        <v>112</v>
      </c>
      <c r="J95">
        <v>2025</v>
      </c>
      <c r="K95" s="248" t="s">
        <v>133</v>
      </c>
    </row>
    <row r="96" spans="1:11" x14ac:dyDescent="0.25">
      <c r="A96" s="115">
        <v>45784</v>
      </c>
      <c r="B96" s="248" t="s">
        <v>128</v>
      </c>
      <c r="C96" s="248" t="s">
        <v>158</v>
      </c>
      <c r="D96">
        <v>-20.45</v>
      </c>
      <c r="F96" t="s">
        <v>85</v>
      </c>
      <c r="G96">
        <v>20.45</v>
      </c>
      <c r="H96">
        <v>-20.45</v>
      </c>
      <c r="I96" t="s">
        <v>111</v>
      </c>
      <c r="J96">
        <v>2025</v>
      </c>
      <c r="K96" s="248" t="s">
        <v>131</v>
      </c>
    </row>
    <row r="97" spans="1:11" x14ac:dyDescent="0.25">
      <c r="A97" s="115">
        <v>45856</v>
      </c>
      <c r="B97" s="248" t="s">
        <v>120</v>
      </c>
      <c r="C97" s="248" t="s">
        <v>160</v>
      </c>
      <c r="D97">
        <v>-64.3</v>
      </c>
      <c r="F97" t="s">
        <v>85</v>
      </c>
      <c r="G97">
        <v>64.3</v>
      </c>
      <c r="H97">
        <v>-64.3</v>
      </c>
      <c r="I97" t="s">
        <v>113</v>
      </c>
      <c r="J97">
        <v>2025</v>
      </c>
      <c r="K97" s="248" t="s">
        <v>146</v>
      </c>
    </row>
    <row r="98" spans="1:11" x14ac:dyDescent="0.25">
      <c r="A98" s="115">
        <v>45868</v>
      </c>
      <c r="B98" s="248" t="s">
        <v>123</v>
      </c>
      <c r="C98" s="248" t="s">
        <v>152</v>
      </c>
      <c r="E98">
        <v>560</v>
      </c>
      <c r="F98" t="s">
        <v>86</v>
      </c>
      <c r="G98">
        <v>560</v>
      </c>
      <c r="H98">
        <v>560</v>
      </c>
      <c r="I98" t="s">
        <v>113</v>
      </c>
      <c r="J98">
        <v>2025</v>
      </c>
      <c r="K98" s="248" t="s">
        <v>124</v>
      </c>
    </row>
    <row r="99" spans="1:11" x14ac:dyDescent="0.25">
      <c r="A99" s="115">
        <v>45883</v>
      </c>
      <c r="B99" s="248" t="s">
        <v>120</v>
      </c>
      <c r="C99" s="248" t="s">
        <v>136</v>
      </c>
      <c r="D99">
        <v>-51.9</v>
      </c>
      <c r="F99" t="s">
        <v>85</v>
      </c>
      <c r="G99">
        <v>51.9</v>
      </c>
      <c r="H99">
        <v>-51.9</v>
      </c>
      <c r="I99" t="s">
        <v>114</v>
      </c>
      <c r="J99">
        <v>2025</v>
      </c>
      <c r="K99" s="248" t="s">
        <v>135</v>
      </c>
    </row>
    <row r="100" spans="1:11" x14ac:dyDescent="0.25">
      <c r="A100" s="115">
        <v>45899</v>
      </c>
      <c r="B100" s="248" t="s">
        <v>120</v>
      </c>
      <c r="C100" s="248" t="s">
        <v>122</v>
      </c>
      <c r="D100">
        <v>-67.099999999999994</v>
      </c>
      <c r="F100" t="s">
        <v>85</v>
      </c>
      <c r="G100">
        <v>67.099999999999994</v>
      </c>
      <c r="H100">
        <v>-67.099999999999994</v>
      </c>
      <c r="I100" t="s">
        <v>114</v>
      </c>
      <c r="J100">
        <v>2025</v>
      </c>
      <c r="K100" s="248" t="s">
        <v>121</v>
      </c>
    </row>
    <row r="101" spans="1:11" x14ac:dyDescent="0.25">
      <c r="A101" s="115">
        <v>45939</v>
      </c>
      <c r="B101" s="248" t="s">
        <v>123</v>
      </c>
      <c r="C101" s="248" t="s">
        <v>125</v>
      </c>
      <c r="E101">
        <v>2490</v>
      </c>
      <c r="F101" t="s">
        <v>86</v>
      </c>
      <c r="G101">
        <v>2490</v>
      </c>
      <c r="H101">
        <v>2490</v>
      </c>
      <c r="I101" t="s">
        <v>119</v>
      </c>
      <c r="J101">
        <v>2025</v>
      </c>
      <c r="K101" s="248" t="s">
        <v>124</v>
      </c>
    </row>
    <row r="102" spans="1:11" x14ac:dyDescent="0.25">
      <c r="A102" s="115">
        <v>45928</v>
      </c>
      <c r="B102" s="248" t="s">
        <v>128</v>
      </c>
      <c r="C102" s="248" t="s">
        <v>139</v>
      </c>
      <c r="D102">
        <v>-75.7</v>
      </c>
      <c r="F102" t="s">
        <v>85</v>
      </c>
      <c r="G102">
        <v>75.7</v>
      </c>
      <c r="H102">
        <v>-75.7</v>
      </c>
      <c r="I102" t="s">
        <v>118</v>
      </c>
      <c r="J102">
        <v>2025</v>
      </c>
      <c r="K102" s="248" t="s">
        <v>138</v>
      </c>
    </row>
    <row r="103" spans="1:11" x14ac:dyDescent="0.25">
      <c r="A103" s="115">
        <v>45947</v>
      </c>
      <c r="B103" s="248" t="s">
        <v>120</v>
      </c>
      <c r="C103" s="248" t="s">
        <v>141</v>
      </c>
      <c r="D103">
        <v>-22.8</v>
      </c>
      <c r="F103" t="s">
        <v>85</v>
      </c>
      <c r="G103">
        <v>22.8</v>
      </c>
      <c r="H103">
        <v>-22.8</v>
      </c>
      <c r="I103" t="s">
        <v>119</v>
      </c>
      <c r="J103">
        <v>2025</v>
      </c>
      <c r="K103" s="248" t="s">
        <v>140</v>
      </c>
    </row>
    <row r="104" spans="1:11" x14ac:dyDescent="0.25">
      <c r="A104" s="115">
        <v>45959</v>
      </c>
      <c r="B104" s="248" t="s">
        <v>128</v>
      </c>
      <c r="C104" s="248" t="s">
        <v>150</v>
      </c>
      <c r="D104">
        <v>-467</v>
      </c>
      <c r="F104" t="s">
        <v>85</v>
      </c>
      <c r="G104">
        <v>467</v>
      </c>
      <c r="H104">
        <v>-467</v>
      </c>
      <c r="I104" t="s">
        <v>119</v>
      </c>
      <c r="J104">
        <v>2025</v>
      </c>
      <c r="K104" s="248" t="s">
        <v>149</v>
      </c>
    </row>
    <row r="105" spans="1:11" x14ac:dyDescent="0.25">
      <c r="A105" s="115">
        <v>45880</v>
      </c>
      <c r="B105" s="248" t="s">
        <v>123</v>
      </c>
      <c r="C105" s="248" t="s">
        <v>142</v>
      </c>
      <c r="E105">
        <v>280</v>
      </c>
      <c r="F105" t="s">
        <v>86</v>
      </c>
      <c r="G105">
        <v>280</v>
      </c>
      <c r="H105">
        <v>280</v>
      </c>
      <c r="I105" t="s">
        <v>114</v>
      </c>
      <c r="J105">
        <v>2025</v>
      </c>
      <c r="K105" s="248" t="s">
        <v>124</v>
      </c>
    </row>
    <row r="106" spans="1:11" x14ac:dyDescent="0.25">
      <c r="A106" s="115">
        <v>45981</v>
      </c>
      <c r="B106" s="248" t="s">
        <v>128</v>
      </c>
      <c r="C106" s="248" t="s">
        <v>132</v>
      </c>
      <c r="D106">
        <v>-23.8</v>
      </c>
      <c r="F106" t="s">
        <v>85</v>
      </c>
      <c r="G106">
        <v>23.8</v>
      </c>
      <c r="H106">
        <v>-23.8</v>
      </c>
      <c r="I106" t="s">
        <v>80</v>
      </c>
      <c r="J106">
        <v>2025</v>
      </c>
      <c r="K106" s="248" t="s">
        <v>131</v>
      </c>
    </row>
    <row r="107" spans="1:11" x14ac:dyDescent="0.25">
      <c r="A107" s="115">
        <v>45669</v>
      </c>
      <c r="B107" s="248" t="s">
        <v>120</v>
      </c>
      <c r="C107" s="248" t="s">
        <v>147</v>
      </c>
      <c r="D107">
        <v>-42.1</v>
      </c>
      <c r="F107" t="s">
        <v>85</v>
      </c>
      <c r="G107">
        <v>42.1</v>
      </c>
      <c r="H107">
        <v>-42.1</v>
      </c>
      <c r="I107" t="s">
        <v>97</v>
      </c>
      <c r="J107">
        <v>2025</v>
      </c>
      <c r="K107" s="248" t="s">
        <v>146</v>
      </c>
    </row>
    <row r="108" spans="1:11" x14ac:dyDescent="0.25">
      <c r="A108" s="115">
        <v>46010</v>
      </c>
      <c r="B108" s="248" t="s">
        <v>123</v>
      </c>
      <c r="C108" s="248" t="s">
        <v>148</v>
      </c>
      <c r="E108">
        <v>390</v>
      </c>
      <c r="F108" t="s">
        <v>86</v>
      </c>
      <c r="G108">
        <v>390</v>
      </c>
      <c r="H108">
        <v>390</v>
      </c>
      <c r="I108" t="s">
        <v>79</v>
      </c>
      <c r="J108">
        <v>2025</v>
      </c>
      <c r="K108" s="248" t="s">
        <v>133</v>
      </c>
    </row>
    <row r="109" spans="1:11" x14ac:dyDescent="0.25">
      <c r="A109" s="115">
        <v>46019</v>
      </c>
      <c r="B109" s="248" t="s">
        <v>120</v>
      </c>
      <c r="C109" s="248" t="s">
        <v>127</v>
      </c>
      <c r="D109">
        <v>-38</v>
      </c>
      <c r="F109" t="s">
        <v>85</v>
      </c>
      <c r="G109">
        <v>38</v>
      </c>
      <c r="H109">
        <v>-38</v>
      </c>
      <c r="I109" t="s">
        <v>79</v>
      </c>
      <c r="J109">
        <v>2025</v>
      </c>
      <c r="K109" s="248" t="s">
        <v>126</v>
      </c>
    </row>
    <row r="110" spans="1:11" x14ac:dyDescent="0.25">
      <c r="A110" s="115">
        <v>45649</v>
      </c>
      <c r="B110" s="248" t="s">
        <v>120</v>
      </c>
      <c r="C110" s="248" t="s">
        <v>146</v>
      </c>
      <c r="D110">
        <v>-2.99</v>
      </c>
      <c r="F110" t="s">
        <v>85</v>
      </c>
      <c r="G110">
        <v>2.99</v>
      </c>
      <c r="H110">
        <v>-2.99</v>
      </c>
      <c r="I110" t="s">
        <v>79</v>
      </c>
      <c r="J110">
        <v>2024</v>
      </c>
      <c r="K110" s="248" t="s">
        <v>163</v>
      </c>
    </row>
    <row r="111" spans="1:11" x14ac:dyDescent="0.25">
      <c r="A111" s="115">
        <v>45649</v>
      </c>
      <c r="B111" s="248" t="s">
        <v>120</v>
      </c>
      <c r="C111" s="248" t="s">
        <v>154</v>
      </c>
      <c r="D111">
        <v>-2.99</v>
      </c>
      <c r="F111" t="s">
        <v>85</v>
      </c>
      <c r="G111">
        <v>2.99</v>
      </c>
      <c r="H111">
        <v>-2.99</v>
      </c>
      <c r="I111" t="s">
        <v>79</v>
      </c>
      <c r="J111">
        <v>2024</v>
      </c>
      <c r="K111" s="248" t="s">
        <v>163</v>
      </c>
    </row>
    <row r="112" spans="1:11" x14ac:dyDescent="0.25">
      <c r="A112" s="115">
        <v>45649</v>
      </c>
      <c r="B112" s="248" t="s">
        <v>120</v>
      </c>
      <c r="C112" s="248" t="s">
        <v>154</v>
      </c>
      <c r="D112">
        <v>-5.99</v>
      </c>
      <c r="F112" t="s">
        <v>85</v>
      </c>
      <c r="G112">
        <v>5.99</v>
      </c>
      <c r="H112">
        <v>-5.99</v>
      </c>
      <c r="I112" t="s">
        <v>79</v>
      </c>
      <c r="J112">
        <v>2024</v>
      </c>
      <c r="K112" s="248" t="s">
        <v>163</v>
      </c>
    </row>
    <row r="113" spans="1:11" x14ac:dyDescent="0.25">
      <c r="A113" s="115">
        <v>45649</v>
      </c>
      <c r="B113" s="248" t="s">
        <v>123</v>
      </c>
      <c r="C113" s="248" t="s">
        <v>165</v>
      </c>
      <c r="E113">
        <v>36.299999999999997</v>
      </c>
      <c r="F113" t="s">
        <v>86</v>
      </c>
      <c r="G113">
        <v>36.299999999999997</v>
      </c>
      <c r="H113">
        <v>36.299999999999997</v>
      </c>
      <c r="I113" t="s">
        <v>79</v>
      </c>
      <c r="J113">
        <v>2024</v>
      </c>
      <c r="K113" s="248" t="s">
        <v>164</v>
      </c>
    </row>
    <row r="114" spans="1:11" x14ac:dyDescent="0.25">
      <c r="A114" s="115">
        <v>45649</v>
      </c>
      <c r="B114" s="248" t="s">
        <v>128</v>
      </c>
      <c r="C114" s="248" t="s">
        <v>167</v>
      </c>
      <c r="D114">
        <v>-26.78</v>
      </c>
      <c r="F114" t="s">
        <v>85</v>
      </c>
      <c r="G114">
        <v>26.78</v>
      </c>
      <c r="H114">
        <v>-26.78</v>
      </c>
      <c r="I114" t="s">
        <v>79</v>
      </c>
      <c r="J114">
        <v>2024</v>
      </c>
      <c r="K114" s="248" t="s">
        <v>166</v>
      </c>
    </row>
    <row r="115" spans="1:11" x14ac:dyDescent="0.25">
      <c r="A115" s="115">
        <v>45649</v>
      </c>
      <c r="B115" s="248" t="s">
        <v>128</v>
      </c>
      <c r="C115" s="248" t="s">
        <v>168</v>
      </c>
      <c r="D115">
        <v>-13.99</v>
      </c>
      <c r="F115" t="s">
        <v>85</v>
      </c>
      <c r="G115">
        <v>13.99</v>
      </c>
      <c r="H115">
        <v>-13.99</v>
      </c>
      <c r="I115" t="s">
        <v>79</v>
      </c>
      <c r="J115">
        <v>2024</v>
      </c>
      <c r="K115" s="248" t="s">
        <v>129</v>
      </c>
    </row>
    <row r="116" spans="1:11" x14ac:dyDescent="0.25">
      <c r="A116" s="115">
        <v>45649</v>
      </c>
      <c r="B116" s="248" t="s">
        <v>128</v>
      </c>
      <c r="C116" s="248" t="s">
        <v>170</v>
      </c>
      <c r="D116">
        <v>-15.33</v>
      </c>
      <c r="F116" t="s">
        <v>85</v>
      </c>
      <c r="G116">
        <v>15.33</v>
      </c>
      <c r="H116">
        <v>-15.33</v>
      </c>
      <c r="I116" t="s">
        <v>79</v>
      </c>
      <c r="J116">
        <v>2024</v>
      </c>
      <c r="K116" s="248" t="s">
        <v>169</v>
      </c>
    </row>
    <row r="117" spans="1:11" x14ac:dyDescent="0.25">
      <c r="A117" s="115">
        <v>45650</v>
      </c>
      <c r="B117" s="248" t="s">
        <v>120</v>
      </c>
      <c r="C117" s="248" t="s">
        <v>171</v>
      </c>
      <c r="D117">
        <v>-32.67</v>
      </c>
      <c r="F117" t="s">
        <v>85</v>
      </c>
      <c r="G117">
        <v>32.67</v>
      </c>
      <c r="H117">
        <v>-32.67</v>
      </c>
      <c r="I117" t="s">
        <v>79</v>
      </c>
      <c r="J117">
        <v>2024</v>
      </c>
      <c r="K117" s="248" t="s">
        <v>163</v>
      </c>
    </row>
    <row r="118" spans="1:11" x14ac:dyDescent="0.25">
      <c r="A118" s="115">
        <v>45650</v>
      </c>
      <c r="B118" s="248" t="s">
        <v>128</v>
      </c>
      <c r="C118" s="248" t="s">
        <v>131</v>
      </c>
      <c r="D118">
        <v>-13.02</v>
      </c>
      <c r="F118" t="s">
        <v>85</v>
      </c>
      <c r="G118">
        <v>13.02</v>
      </c>
      <c r="H118">
        <v>-13.02</v>
      </c>
      <c r="I118" t="s">
        <v>79</v>
      </c>
      <c r="J118">
        <v>2024</v>
      </c>
      <c r="K118" s="248" t="s">
        <v>131</v>
      </c>
    </row>
    <row r="119" spans="1:11" x14ac:dyDescent="0.25">
      <c r="A119" s="115">
        <v>45651</v>
      </c>
      <c r="B119" s="248" t="s">
        <v>123</v>
      </c>
      <c r="C119" s="248" t="s">
        <v>165</v>
      </c>
      <c r="E119">
        <v>15</v>
      </c>
      <c r="F119" t="s">
        <v>86</v>
      </c>
      <c r="G119">
        <v>15</v>
      </c>
      <c r="H119">
        <v>15</v>
      </c>
      <c r="I119" t="s">
        <v>79</v>
      </c>
      <c r="J119">
        <v>2024</v>
      </c>
      <c r="K119" s="248" t="s">
        <v>164</v>
      </c>
    </row>
    <row r="120" spans="1:11" x14ac:dyDescent="0.25">
      <c r="A120" s="115">
        <v>45651</v>
      </c>
      <c r="B120" s="248" t="s">
        <v>120</v>
      </c>
      <c r="C120" s="248" t="s">
        <v>172</v>
      </c>
      <c r="D120">
        <v>-9.99</v>
      </c>
      <c r="F120" t="s">
        <v>85</v>
      </c>
      <c r="G120">
        <v>9.99</v>
      </c>
      <c r="H120">
        <v>-9.99</v>
      </c>
      <c r="I120" t="s">
        <v>79</v>
      </c>
      <c r="J120">
        <v>2024</v>
      </c>
      <c r="K120" s="248" t="s">
        <v>163</v>
      </c>
    </row>
    <row r="121" spans="1:11" x14ac:dyDescent="0.25">
      <c r="A121" s="115">
        <v>45652</v>
      </c>
      <c r="B121" s="248" t="s">
        <v>128</v>
      </c>
      <c r="C121" s="248" t="s">
        <v>167</v>
      </c>
      <c r="D121">
        <v>-8.99</v>
      </c>
      <c r="F121" t="s">
        <v>85</v>
      </c>
      <c r="G121">
        <v>8.99</v>
      </c>
      <c r="H121">
        <v>-8.99</v>
      </c>
      <c r="I121" t="s">
        <v>79</v>
      </c>
      <c r="J121">
        <v>2024</v>
      </c>
      <c r="K121" s="248" t="s">
        <v>166</v>
      </c>
    </row>
    <row r="122" spans="1:11" x14ac:dyDescent="0.25">
      <c r="A122" s="115">
        <v>45652</v>
      </c>
      <c r="B122" s="248" t="s">
        <v>128</v>
      </c>
      <c r="C122" s="248" t="s">
        <v>173</v>
      </c>
      <c r="D122">
        <v>-13</v>
      </c>
      <c r="F122" t="s">
        <v>85</v>
      </c>
      <c r="G122">
        <v>13</v>
      </c>
      <c r="H122">
        <v>-13</v>
      </c>
      <c r="I122" t="s">
        <v>79</v>
      </c>
      <c r="J122">
        <v>2024</v>
      </c>
      <c r="K122" s="248" t="s">
        <v>166</v>
      </c>
    </row>
    <row r="123" spans="1:11" x14ac:dyDescent="0.25">
      <c r="A123" s="115">
        <v>45652</v>
      </c>
      <c r="B123" s="248" t="s">
        <v>128</v>
      </c>
      <c r="C123" s="248" t="s">
        <v>129</v>
      </c>
      <c r="D123">
        <v>-19.989999999999998</v>
      </c>
      <c r="F123" t="s">
        <v>85</v>
      </c>
      <c r="G123">
        <v>19.989999999999998</v>
      </c>
      <c r="H123">
        <v>-19.989999999999998</v>
      </c>
      <c r="I123" t="s">
        <v>79</v>
      </c>
      <c r="J123">
        <v>2024</v>
      </c>
      <c r="K123" s="248" t="s">
        <v>129</v>
      </c>
    </row>
    <row r="124" spans="1:11" x14ac:dyDescent="0.25">
      <c r="A124" s="115">
        <v>45653</v>
      </c>
      <c r="B124" s="248" t="s">
        <v>120</v>
      </c>
      <c r="C124" s="248" t="s">
        <v>171</v>
      </c>
      <c r="D124">
        <v>-23.56</v>
      </c>
      <c r="F124" t="s">
        <v>85</v>
      </c>
      <c r="G124">
        <v>23.56</v>
      </c>
      <c r="H124">
        <v>-23.56</v>
      </c>
      <c r="I124" t="s">
        <v>79</v>
      </c>
      <c r="J124">
        <v>2024</v>
      </c>
      <c r="K124" s="248" t="s">
        <v>163</v>
      </c>
    </row>
    <row r="125" spans="1:11" x14ac:dyDescent="0.25">
      <c r="A125" s="115">
        <v>45653</v>
      </c>
      <c r="B125" s="248" t="s">
        <v>120</v>
      </c>
      <c r="C125" s="248" t="s">
        <v>174</v>
      </c>
      <c r="D125">
        <v>-3.6</v>
      </c>
      <c r="F125" t="s">
        <v>85</v>
      </c>
      <c r="G125">
        <v>3.6</v>
      </c>
      <c r="H125">
        <v>-3.6</v>
      </c>
      <c r="I125" t="s">
        <v>79</v>
      </c>
      <c r="J125">
        <v>2024</v>
      </c>
      <c r="K125" s="248" t="s">
        <v>163</v>
      </c>
    </row>
    <row r="126" spans="1:11" x14ac:dyDescent="0.25">
      <c r="A126" s="115">
        <v>45654</v>
      </c>
      <c r="B126" s="248" t="s">
        <v>123</v>
      </c>
      <c r="C126" s="248" t="s">
        <v>134</v>
      </c>
      <c r="E126">
        <v>20</v>
      </c>
      <c r="F126" t="s">
        <v>86</v>
      </c>
      <c r="G126">
        <v>20</v>
      </c>
      <c r="H126">
        <v>20</v>
      </c>
      <c r="I126" t="s">
        <v>79</v>
      </c>
      <c r="J126">
        <v>2024</v>
      </c>
      <c r="K126" s="248" t="s">
        <v>164</v>
      </c>
    </row>
    <row r="127" spans="1:11" x14ac:dyDescent="0.25">
      <c r="A127" s="115">
        <v>45654</v>
      </c>
      <c r="B127" s="248" t="s">
        <v>128</v>
      </c>
      <c r="C127" s="248" t="s">
        <v>176</v>
      </c>
      <c r="D127">
        <v>-10.199999999999999</v>
      </c>
      <c r="F127" t="s">
        <v>85</v>
      </c>
      <c r="G127">
        <v>10.199999999999999</v>
      </c>
      <c r="H127">
        <v>-10.199999999999999</v>
      </c>
      <c r="I127" t="s">
        <v>79</v>
      </c>
      <c r="J127">
        <v>2024</v>
      </c>
      <c r="K127" s="248" t="s">
        <v>175</v>
      </c>
    </row>
    <row r="128" spans="1:11" x14ac:dyDescent="0.25">
      <c r="A128" s="115">
        <v>45655</v>
      </c>
      <c r="B128" s="248" t="s">
        <v>128</v>
      </c>
      <c r="C128" s="248" t="s">
        <v>140</v>
      </c>
      <c r="D128">
        <v>-4.5</v>
      </c>
      <c r="F128" t="s">
        <v>85</v>
      </c>
      <c r="G128">
        <v>4.5</v>
      </c>
      <c r="H128">
        <v>-4.5</v>
      </c>
      <c r="I128" t="s">
        <v>79</v>
      </c>
      <c r="J128">
        <v>2024</v>
      </c>
      <c r="K128" s="248" t="s">
        <v>140</v>
      </c>
    </row>
    <row r="129" spans="1:11" x14ac:dyDescent="0.25">
      <c r="A129" s="115">
        <v>45655</v>
      </c>
      <c r="B129" s="248" t="s">
        <v>128</v>
      </c>
      <c r="C129" s="248" t="s">
        <v>167</v>
      </c>
      <c r="D129">
        <v>-8.99</v>
      </c>
      <c r="F129" t="s">
        <v>85</v>
      </c>
      <c r="G129">
        <v>8.99</v>
      </c>
      <c r="H129">
        <v>-8.99</v>
      </c>
      <c r="I129" t="s">
        <v>79</v>
      </c>
      <c r="J129">
        <v>2024</v>
      </c>
      <c r="K129" s="248" t="s">
        <v>166</v>
      </c>
    </row>
    <row r="130" spans="1:11" x14ac:dyDescent="0.25">
      <c r="A130" s="115">
        <v>45655</v>
      </c>
      <c r="B130" s="248" t="s">
        <v>128</v>
      </c>
      <c r="C130" s="248" t="s">
        <v>170</v>
      </c>
      <c r="D130">
        <v>-10</v>
      </c>
      <c r="F130" t="s">
        <v>85</v>
      </c>
      <c r="G130">
        <v>10</v>
      </c>
      <c r="H130">
        <v>-10</v>
      </c>
      <c r="I130" t="s">
        <v>79</v>
      </c>
      <c r="J130">
        <v>2024</v>
      </c>
      <c r="K130" s="248" t="s">
        <v>169</v>
      </c>
    </row>
    <row r="131" spans="1:11" x14ac:dyDescent="0.25">
      <c r="A131" s="115">
        <v>45656</v>
      </c>
      <c r="B131" s="248" t="s">
        <v>123</v>
      </c>
      <c r="C131" s="248" t="s">
        <v>125</v>
      </c>
      <c r="E131">
        <v>1000</v>
      </c>
      <c r="F131" t="s">
        <v>86</v>
      </c>
      <c r="G131">
        <v>1000</v>
      </c>
      <c r="H131">
        <v>1000</v>
      </c>
      <c r="I131" t="s">
        <v>79</v>
      </c>
      <c r="J131">
        <v>2024</v>
      </c>
      <c r="K131" s="248" t="s">
        <v>125</v>
      </c>
    </row>
    <row r="132" spans="1:11" x14ac:dyDescent="0.25">
      <c r="A132" s="115">
        <v>45657</v>
      </c>
      <c r="B132" s="248" t="s">
        <v>128</v>
      </c>
      <c r="C132" s="248" t="s">
        <v>150</v>
      </c>
      <c r="D132">
        <v>-150</v>
      </c>
      <c r="F132" t="s">
        <v>85</v>
      </c>
      <c r="G132">
        <v>150</v>
      </c>
      <c r="H132">
        <v>-150</v>
      </c>
      <c r="I132" t="s">
        <v>79</v>
      </c>
      <c r="J132">
        <v>2024</v>
      </c>
      <c r="K132" s="248" t="s">
        <v>149</v>
      </c>
    </row>
    <row r="133" spans="1:11" x14ac:dyDescent="0.25">
      <c r="A133" s="115">
        <v>45657</v>
      </c>
      <c r="B133" s="248" t="s">
        <v>120</v>
      </c>
      <c r="C133" s="248" t="s">
        <v>177</v>
      </c>
      <c r="D133">
        <v>-65</v>
      </c>
      <c r="F133" t="s">
        <v>85</v>
      </c>
      <c r="G133">
        <v>65</v>
      </c>
      <c r="H133">
        <v>-65</v>
      </c>
      <c r="I133" t="s">
        <v>79</v>
      </c>
      <c r="J133">
        <v>2024</v>
      </c>
      <c r="K133" s="248" t="s">
        <v>163</v>
      </c>
    </row>
    <row r="134" spans="1:11" x14ac:dyDescent="0.25">
      <c r="A134" s="115">
        <v>45658</v>
      </c>
      <c r="B134" s="248" t="s">
        <v>120</v>
      </c>
      <c r="C134" s="248" t="s">
        <v>171</v>
      </c>
      <c r="D134">
        <v>-48</v>
      </c>
      <c r="F134" t="s">
        <v>85</v>
      </c>
      <c r="G134">
        <v>48</v>
      </c>
      <c r="H134">
        <v>-48</v>
      </c>
      <c r="I134" t="s">
        <v>97</v>
      </c>
      <c r="J134">
        <v>2025</v>
      </c>
      <c r="K134" s="248" t="s">
        <v>163</v>
      </c>
    </row>
    <row r="135" spans="1:11" x14ac:dyDescent="0.25">
      <c r="A135" s="115">
        <v>45658</v>
      </c>
      <c r="B135" s="248" t="s">
        <v>120</v>
      </c>
      <c r="C135" s="248" t="s">
        <v>126</v>
      </c>
      <c r="D135">
        <v>-19.989999999999998</v>
      </c>
      <c r="F135" t="s">
        <v>85</v>
      </c>
      <c r="G135">
        <v>19.989999999999998</v>
      </c>
      <c r="H135">
        <v>-19.989999999999998</v>
      </c>
      <c r="I135" t="s">
        <v>97</v>
      </c>
      <c r="J135">
        <v>2025</v>
      </c>
      <c r="K135" s="248" t="s">
        <v>163</v>
      </c>
    </row>
    <row r="136" spans="1:11" x14ac:dyDescent="0.25">
      <c r="A136" s="115">
        <v>45689</v>
      </c>
      <c r="B136" s="248" t="s">
        <v>128</v>
      </c>
      <c r="C136" s="248" t="s">
        <v>129</v>
      </c>
      <c r="D136">
        <v>-13.99</v>
      </c>
      <c r="F136" t="s">
        <v>85</v>
      </c>
      <c r="G136">
        <v>13.99</v>
      </c>
      <c r="H136">
        <v>-13.99</v>
      </c>
      <c r="I136" t="s">
        <v>108</v>
      </c>
      <c r="J136">
        <v>2025</v>
      </c>
      <c r="K136" s="248" t="s">
        <v>129</v>
      </c>
    </row>
    <row r="137" spans="1:11" x14ac:dyDescent="0.25">
      <c r="A137" s="115">
        <v>45689</v>
      </c>
      <c r="B137" s="248" t="s">
        <v>120</v>
      </c>
      <c r="C137" s="248" t="s">
        <v>121</v>
      </c>
      <c r="D137">
        <v>-25.5</v>
      </c>
      <c r="F137" t="s">
        <v>85</v>
      </c>
      <c r="G137">
        <v>25.5</v>
      </c>
      <c r="H137">
        <v>-25.5</v>
      </c>
      <c r="I137" t="s">
        <v>108</v>
      </c>
      <c r="J137">
        <v>2025</v>
      </c>
      <c r="K137" s="248" t="s">
        <v>163</v>
      </c>
    </row>
    <row r="138" spans="1:11" x14ac:dyDescent="0.25">
      <c r="A138" s="115">
        <v>45717</v>
      </c>
      <c r="B138" s="248" t="s">
        <v>128</v>
      </c>
      <c r="C138" s="248" t="s">
        <v>140</v>
      </c>
      <c r="D138">
        <v>-17.8</v>
      </c>
      <c r="F138" t="s">
        <v>85</v>
      </c>
      <c r="G138">
        <v>17.8</v>
      </c>
      <c r="H138">
        <v>-17.8</v>
      </c>
      <c r="I138" t="s">
        <v>109</v>
      </c>
      <c r="J138">
        <v>2025</v>
      </c>
      <c r="K138" s="248" t="s">
        <v>140</v>
      </c>
    </row>
    <row r="139" spans="1:11" x14ac:dyDescent="0.25">
      <c r="A139" s="115">
        <v>45717</v>
      </c>
      <c r="B139" s="248" t="s">
        <v>128</v>
      </c>
      <c r="C139" s="248" t="s">
        <v>131</v>
      </c>
      <c r="D139">
        <v>-8.99</v>
      </c>
      <c r="F139" t="s">
        <v>85</v>
      </c>
      <c r="G139">
        <v>8.99</v>
      </c>
      <c r="H139">
        <v>-8.99</v>
      </c>
      <c r="I139" t="s">
        <v>109</v>
      </c>
      <c r="J139">
        <v>2025</v>
      </c>
      <c r="K139" s="248" t="s">
        <v>131</v>
      </c>
    </row>
    <row r="140" spans="1:11" x14ac:dyDescent="0.25">
      <c r="A140" s="115">
        <v>46332</v>
      </c>
      <c r="B140" s="248" t="s">
        <v>178</v>
      </c>
      <c r="C140" s="248" t="s">
        <v>180</v>
      </c>
      <c r="E140">
        <v>2836.06</v>
      </c>
      <c r="F140" t="s">
        <v>86</v>
      </c>
      <c r="G140">
        <v>2836.06</v>
      </c>
      <c r="H140">
        <v>2836.06</v>
      </c>
      <c r="I140" t="s">
        <v>80</v>
      </c>
      <c r="J140">
        <v>2026</v>
      </c>
      <c r="K140" s="248" t="s">
        <v>179</v>
      </c>
    </row>
    <row r="141" spans="1:11" x14ac:dyDescent="0.25">
      <c r="A141" s="115">
        <v>46151</v>
      </c>
      <c r="B141" s="248" t="s">
        <v>181</v>
      </c>
      <c r="C141" s="248" t="s">
        <v>182</v>
      </c>
      <c r="E141">
        <v>2611.62</v>
      </c>
      <c r="F141" t="s">
        <v>86</v>
      </c>
      <c r="G141">
        <v>2611.62</v>
      </c>
      <c r="H141">
        <v>2611.62</v>
      </c>
      <c r="I141" t="s">
        <v>111</v>
      </c>
      <c r="J141">
        <v>2026</v>
      </c>
      <c r="K141" s="248" t="s">
        <v>106</v>
      </c>
    </row>
    <row r="142" spans="1:11" x14ac:dyDescent="0.25">
      <c r="A142" s="115">
        <v>46278</v>
      </c>
      <c r="B142" s="248" t="s">
        <v>107</v>
      </c>
      <c r="C142" s="248" t="s">
        <v>184</v>
      </c>
      <c r="E142">
        <v>2567.54</v>
      </c>
      <c r="F142" t="s">
        <v>86</v>
      </c>
      <c r="G142">
        <v>2567.54</v>
      </c>
      <c r="H142">
        <v>2567.54</v>
      </c>
      <c r="I142" t="s">
        <v>118</v>
      </c>
      <c r="J142">
        <v>2026</v>
      </c>
      <c r="K142" s="248" t="s">
        <v>183</v>
      </c>
    </row>
    <row r="143" spans="1:11" x14ac:dyDescent="0.25">
      <c r="A143" s="115">
        <v>45780</v>
      </c>
      <c r="B143" s="248" t="s">
        <v>185</v>
      </c>
      <c r="C143" s="248" t="s">
        <v>187</v>
      </c>
      <c r="E143">
        <v>2398.69</v>
      </c>
      <c r="F143" t="s">
        <v>86</v>
      </c>
      <c r="G143">
        <v>2398.69</v>
      </c>
      <c r="H143">
        <v>2398.69</v>
      </c>
      <c r="I143" t="s">
        <v>111</v>
      </c>
      <c r="J143">
        <v>2025</v>
      </c>
      <c r="K143" s="248" t="s">
        <v>186</v>
      </c>
    </row>
    <row r="144" spans="1:11" x14ac:dyDescent="0.25">
      <c r="A144" s="115">
        <v>46331</v>
      </c>
      <c r="B144" s="248" t="s">
        <v>188</v>
      </c>
      <c r="C144" s="248" t="s">
        <v>189</v>
      </c>
      <c r="E144">
        <v>2337.38</v>
      </c>
      <c r="F144" t="s">
        <v>86</v>
      </c>
      <c r="G144">
        <v>2337.38</v>
      </c>
      <c r="H144">
        <v>2337.38</v>
      </c>
      <c r="I144" t="s">
        <v>80</v>
      </c>
      <c r="J144">
        <v>2026</v>
      </c>
      <c r="K144" s="248" t="s">
        <v>117</v>
      </c>
    </row>
    <row r="145" spans="1:11" x14ac:dyDescent="0.25">
      <c r="A145" s="115">
        <v>45692</v>
      </c>
      <c r="B145" s="248" t="s">
        <v>190</v>
      </c>
      <c r="C145" s="248" t="s">
        <v>191</v>
      </c>
      <c r="E145">
        <v>2291.33</v>
      </c>
      <c r="F145" t="s">
        <v>86</v>
      </c>
      <c r="G145">
        <v>2291.33</v>
      </c>
      <c r="H145">
        <v>2291.33</v>
      </c>
      <c r="I145" t="s">
        <v>108</v>
      </c>
      <c r="J145">
        <v>2025</v>
      </c>
      <c r="K145" s="248" t="s">
        <v>117</v>
      </c>
    </row>
    <row r="146" spans="1:11" x14ac:dyDescent="0.25">
      <c r="A146" s="115">
        <v>45970</v>
      </c>
      <c r="B146" s="248" t="s">
        <v>192</v>
      </c>
      <c r="C146" s="248" t="s">
        <v>193</v>
      </c>
      <c r="E146">
        <v>2233.8200000000002</v>
      </c>
      <c r="F146" t="s">
        <v>86</v>
      </c>
      <c r="G146">
        <v>2233.8200000000002</v>
      </c>
      <c r="H146">
        <v>2233.8200000000002</v>
      </c>
      <c r="I146" t="s">
        <v>80</v>
      </c>
      <c r="J146">
        <v>2025</v>
      </c>
      <c r="K146" s="248" t="s">
        <v>117</v>
      </c>
    </row>
    <row r="147" spans="1:11" x14ac:dyDescent="0.25">
      <c r="A147" s="115">
        <v>45991</v>
      </c>
      <c r="B147" s="248" t="s">
        <v>194</v>
      </c>
      <c r="C147" s="248" t="s">
        <v>195</v>
      </c>
      <c r="E147">
        <v>2213.62</v>
      </c>
      <c r="F147" t="s">
        <v>86</v>
      </c>
      <c r="G147">
        <v>2213.62</v>
      </c>
      <c r="H147">
        <v>2213.62</v>
      </c>
      <c r="I147" t="s">
        <v>80</v>
      </c>
      <c r="J147">
        <v>2025</v>
      </c>
      <c r="K147" s="248" t="s">
        <v>179</v>
      </c>
    </row>
    <row r="148" spans="1:11" x14ac:dyDescent="0.25">
      <c r="A148" s="115">
        <v>46319</v>
      </c>
      <c r="B148" s="248" t="s">
        <v>196</v>
      </c>
      <c r="C148" s="248" t="s">
        <v>197</v>
      </c>
      <c r="E148">
        <v>2200.61</v>
      </c>
      <c r="F148" t="s">
        <v>86</v>
      </c>
      <c r="G148">
        <v>2200.61</v>
      </c>
      <c r="H148">
        <v>2200.61</v>
      </c>
      <c r="I148" t="s">
        <v>119</v>
      </c>
      <c r="J148">
        <v>2026</v>
      </c>
      <c r="K148" s="248" t="s">
        <v>183</v>
      </c>
    </row>
    <row r="149" spans="1:11" x14ac:dyDescent="0.25">
      <c r="A149" s="115">
        <v>46126</v>
      </c>
      <c r="B149" s="248" t="s">
        <v>194</v>
      </c>
      <c r="C149" s="248" t="s">
        <v>195</v>
      </c>
      <c r="E149">
        <v>2194.19</v>
      </c>
      <c r="F149" t="s">
        <v>86</v>
      </c>
      <c r="G149">
        <v>2194.19</v>
      </c>
      <c r="H149">
        <v>2194.19</v>
      </c>
      <c r="I149" t="s">
        <v>110</v>
      </c>
      <c r="J149">
        <v>2026</v>
      </c>
      <c r="K149" s="248" t="s">
        <v>117</v>
      </c>
    </row>
    <row r="150" spans="1:11" x14ac:dyDescent="0.25">
      <c r="A150" s="115">
        <v>45975</v>
      </c>
      <c r="B150" s="248" t="s">
        <v>181</v>
      </c>
      <c r="C150" s="248" t="s">
        <v>182</v>
      </c>
      <c r="E150">
        <v>2171.9899999999998</v>
      </c>
      <c r="F150" t="s">
        <v>86</v>
      </c>
      <c r="G150">
        <v>2171.9899999999998</v>
      </c>
      <c r="H150">
        <v>2171.9899999999998</v>
      </c>
      <c r="I150" t="s">
        <v>80</v>
      </c>
      <c r="J150">
        <v>2025</v>
      </c>
      <c r="K150" s="248" t="s">
        <v>183</v>
      </c>
    </row>
    <row r="151" spans="1:11" x14ac:dyDescent="0.25">
      <c r="A151" s="115">
        <v>46242</v>
      </c>
      <c r="B151" s="248" t="s">
        <v>198</v>
      </c>
      <c r="C151" s="248" t="s">
        <v>199</v>
      </c>
      <c r="E151">
        <v>2168.98</v>
      </c>
      <c r="F151" t="s">
        <v>86</v>
      </c>
      <c r="G151">
        <v>2168.98</v>
      </c>
      <c r="H151">
        <v>2168.98</v>
      </c>
      <c r="I151" t="s">
        <v>114</v>
      </c>
      <c r="J151">
        <v>2026</v>
      </c>
      <c r="K151" s="248" t="s">
        <v>115</v>
      </c>
    </row>
    <row r="152" spans="1:11" x14ac:dyDescent="0.25">
      <c r="A152" s="115">
        <v>45804</v>
      </c>
      <c r="B152" s="248" t="s">
        <v>200</v>
      </c>
      <c r="C152" s="248" t="s">
        <v>202</v>
      </c>
      <c r="E152">
        <v>2098.46</v>
      </c>
      <c r="F152" t="s">
        <v>86</v>
      </c>
      <c r="G152">
        <v>2098.46</v>
      </c>
      <c r="H152">
        <v>2098.46</v>
      </c>
      <c r="I152" t="s">
        <v>111</v>
      </c>
      <c r="J152">
        <v>2025</v>
      </c>
      <c r="K152" s="248" t="s">
        <v>201</v>
      </c>
    </row>
    <row r="153" spans="1:11" x14ac:dyDescent="0.25">
      <c r="A153" s="115">
        <v>45959</v>
      </c>
      <c r="B153" s="248" t="s">
        <v>203</v>
      </c>
      <c r="C153" s="248" t="s">
        <v>204</v>
      </c>
      <c r="E153">
        <v>2065.84</v>
      </c>
      <c r="F153" t="s">
        <v>86</v>
      </c>
      <c r="G153">
        <v>2065.84</v>
      </c>
      <c r="H153">
        <v>2065.84</v>
      </c>
      <c r="I153" t="s">
        <v>119</v>
      </c>
      <c r="J153">
        <v>2025</v>
      </c>
      <c r="K153" s="248" t="s">
        <v>179</v>
      </c>
    </row>
    <row r="154" spans="1:11" x14ac:dyDescent="0.25">
      <c r="A154" s="115">
        <v>46246</v>
      </c>
      <c r="B154" s="248" t="s">
        <v>200</v>
      </c>
      <c r="C154" s="248" t="s">
        <v>202</v>
      </c>
      <c r="E154">
        <v>1943.32</v>
      </c>
      <c r="F154" t="s">
        <v>86</v>
      </c>
      <c r="G154">
        <v>1943.32</v>
      </c>
      <c r="H154">
        <v>1943.32</v>
      </c>
      <c r="I154" t="s">
        <v>114</v>
      </c>
      <c r="J154">
        <v>2026</v>
      </c>
      <c r="K154" s="248" t="s">
        <v>115</v>
      </c>
    </row>
    <row r="155" spans="1:11" x14ac:dyDescent="0.25">
      <c r="A155" s="115">
        <v>45786</v>
      </c>
      <c r="B155" s="248" t="s">
        <v>185</v>
      </c>
      <c r="C155" s="248" t="s">
        <v>187</v>
      </c>
      <c r="E155">
        <v>1897.91</v>
      </c>
      <c r="F155" t="s">
        <v>86</v>
      </c>
      <c r="G155">
        <v>1897.91</v>
      </c>
      <c r="H155">
        <v>1897.91</v>
      </c>
      <c r="I155" t="s">
        <v>111</v>
      </c>
      <c r="J155">
        <v>2025</v>
      </c>
      <c r="K155" s="248" t="s">
        <v>201</v>
      </c>
    </row>
    <row r="156" spans="1:11" x14ac:dyDescent="0.25">
      <c r="A156" s="115">
        <v>45966</v>
      </c>
      <c r="B156" s="248" t="s">
        <v>205</v>
      </c>
      <c r="C156" s="248" t="s">
        <v>206</v>
      </c>
      <c r="E156">
        <v>1696.25</v>
      </c>
      <c r="F156" t="s">
        <v>86</v>
      </c>
      <c r="G156">
        <v>1696.25</v>
      </c>
      <c r="H156">
        <v>1696.25</v>
      </c>
      <c r="I156" t="s">
        <v>80</v>
      </c>
      <c r="J156">
        <v>2025</v>
      </c>
      <c r="K156" s="248" t="s">
        <v>179</v>
      </c>
    </row>
    <row r="157" spans="1:11" x14ac:dyDescent="0.25">
      <c r="A157" s="115">
        <v>46330</v>
      </c>
      <c r="B157" s="248" t="s">
        <v>207</v>
      </c>
      <c r="C157" s="248" t="s">
        <v>208</v>
      </c>
      <c r="E157">
        <v>1629.99</v>
      </c>
      <c r="F157" t="s">
        <v>86</v>
      </c>
      <c r="G157">
        <v>1629.99</v>
      </c>
      <c r="H157">
        <v>1629.99</v>
      </c>
      <c r="I157" t="s">
        <v>80</v>
      </c>
      <c r="J157">
        <v>2026</v>
      </c>
      <c r="K157" s="248" t="s">
        <v>186</v>
      </c>
    </row>
    <row r="158" spans="1:11" x14ac:dyDescent="0.25">
      <c r="A158" s="115">
        <v>45976</v>
      </c>
      <c r="B158" s="248" t="s">
        <v>203</v>
      </c>
      <c r="C158" s="248" t="s">
        <v>204</v>
      </c>
      <c r="E158">
        <v>1627.86</v>
      </c>
      <c r="F158" t="s">
        <v>86</v>
      </c>
      <c r="G158">
        <v>1627.86</v>
      </c>
      <c r="H158">
        <v>1627.86</v>
      </c>
      <c r="I158" t="s">
        <v>80</v>
      </c>
      <c r="J158">
        <v>2025</v>
      </c>
      <c r="K158" s="248" t="s">
        <v>201</v>
      </c>
    </row>
    <row r="159" spans="1:11" x14ac:dyDescent="0.25">
      <c r="A159" s="115">
        <v>46011</v>
      </c>
      <c r="B159" s="248" t="s">
        <v>209</v>
      </c>
      <c r="C159" s="248" t="s">
        <v>210</v>
      </c>
      <c r="E159">
        <v>1590.67</v>
      </c>
      <c r="F159" t="s">
        <v>86</v>
      </c>
      <c r="G159">
        <v>1590.67</v>
      </c>
      <c r="H159">
        <v>1590.67</v>
      </c>
      <c r="I159" t="s">
        <v>79</v>
      </c>
      <c r="J159">
        <v>2025</v>
      </c>
      <c r="K159" s="248" t="s">
        <v>115</v>
      </c>
    </row>
    <row r="160" spans="1:11" x14ac:dyDescent="0.25">
      <c r="A160" s="115">
        <v>45853</v>
      </c>
      <c r="B160" s="248" t="s">
        <v>190</v>
      </c>
      <c r="C160" s="248" t="s">
        <v>191</v>
      </c>
      <c r="E160">
        <v>1577.09</v>
      </c>
      <c r="F160" t="s">
        <v>86</v>
      </c>
      <c r="G160">
        <v>1577.09</v>
      </c>
      <c r="H160">
        <v>1577.09</v>
      </c>
      <c r="I160" t="s">
        <v>113</v>
      </c>
      <c r="J160">
        <v>2025</v>
      </c>
      <c r="K160" s="248" t="s">
        <v>117</v>
      </c>
    </row>
    <row r="161" spans="1:11" x14ac:dyDescent="0.25">
      <c r="A161" s="115">
        <v>45956</v>
      </c>
      <c r="B161" s="248" t="s">
        <v>211</v>
      </c>
      <c r="C161" s="248" t="s">
        <v>212</v>
      </c>
      <c r="E161">
        <v>1558.05</v>
      </c>
      <c r="F161" t="s">
        <v>86</v>
      </c>
      <c r="G161">
        <v>1558.05</v>
      </c>
      <c r="H161">
        <v>1558.05</v>
      </c>
      <c r="I161" t="s">
        <v>119</v>
      </c>
      <c r="J161">
        <v>2025</v>
      </c>
      <c r="K161" s="248" t="s">
        <v>179</v>
      </c>
    </row>
    <row r="162" spans="1:11" x14ac:dyDescent="0.25">
      <c r="A162" s="115">
        <v>46239</v>
      </c>
      <c r="B162" s="248" t="s">
        <v>207</v>
      </c>
      <c r="C162" s="248" t="s">
        <v>208</v>
      </c>
      <c r="E162">
        <v>1485.01</v>
      </c>
      <c r="F162" t="s">
        <v>86</v>
      </c>
      <c r="G162">
        <v>1485.01</v>
      </c>
      <c r="H162">
        <v>1485.01</v>
      </c>
      <c r="I162" t="s">
        <v>114</v>
      </c>
      <c r="J162">
        <v>2026</v>
      </c>
      <c r="K162" s="248" t="s">
        <v>117</v>
      </c>
    </row>
    <row r="163" spans="1:11" x14ac:dyDescent="0.25">
      <c r="A163" s="115">
        <v>46350</v>
      </c>
      <c r="B163" s="248" t="s">
        <v>185</v>
      </c>
      <c r="C163" s="248" t="s">
        <v>187</v>
      </c>
      <c r="E163">
        <v>1441.18</v>
      </c>
      <c r="F163" t="s">
        <v>86</v>
      </c>
      <c r="G163">
        <v>1441.18</v>
      </c>
      <c r="H163">
        <v>1441.18</v>
      </c>
      <c r="I163" t="s">
        <v>80</v>
      </c>
      <c r="J163">
        <v>2026</v>
      </c>
      <c r="K163" s="248" t="s">
        <v>106</v>
      </c>
    </row>
    <row r="164" spans="1:11" x14ac:dyDescent="0.25">
      <c r="A164" s="115">
        <v>45921</v>
      </c>
      <c r="B164" s="248" t="s">
        <v>196</v>
      </c>
      <c r="C164" s="248" t="s">
        <v>197</v>
      </c>
      <c r="E164">
        <v>1394.97</v>
      </c>
      <c r="F164" t="s">
        <v>86</v>
      </c>
      <c r="G164">
        <v>1394.97</v>
      </c>
      <c r="H164">
        <v>1394.97</v>
      </c>
      <c r="I164" t="s">
        <v>118</v>
      </c>
      <c r="J164">
        <v>2025</v>
      </c>
      <c r="K164" s="248" t="s">
        <v>106</v>
      </c>
    </row>
    <row r="165" spans="1:11" x14ac:dyDescent="0.25">
      <c r="A165" s="115">
        <v>45902</v>
      </c>
      <c r="B165" s="248" t="s">
        <v>194</v>
      </c>
      <c r="C165" s="248" t="s">
        <v>195</v>
      </c>
      <c r="E165">
        <v>1381.01</v>
      </c>
      <c r="F165" t="s">
        <v>86</v>
      </c>
      <c r="G165">
        <v>1381.01</v>
      </c>
      <c r="H165">
        <v>1381.01</v>
      </c>
      <c r="I165" t="s">
        <v>118</v>
      </c>
      <c r="J165">
        <v>2025</v>
      </c>
      <c r="K165" s="248" t="s">
        <v>186</v>
      </c>
    </row>
    <row r="166" spans="1:11" x14ac:dyDescent="0.25">
      <c r="A166" s="115">
        <v>45993</v>
      </c>
      <c r="B166" s="248" t="s">
        <v>188</v>
      </c>
      <c r="C166" s="248" t="s">
        <v>189</v>
      </c>
      <c r="E166">
        <v>1253.24</v>
      </c>
      <c r="F166" t="s">
        <v>86</v>
      </c>
      <c r="G166">
        <v>1253.24</v>
      </c>
      <c r="H166">
        <v>1253.24</v>
      </c>
      <c r="I166" t="s">
        <v>79</v>
      </c>
      <c r="J166">
        <v>2025</v>
      </c>
      <c r="K166" s="248" t="s">
        <v>186</v>
      </c>
    </row>
    <row r="167" spans="1:11" x14ac:dyDescent="0.25">
      <c r="A167" s="115">
        <v>46070</v>
      </c>
      <c r="B167" s="248" t="s">
        <v>205</v>
      </c>
      <c r="C167" s="248" t="s">
        <v>206</v>
      </c>
      <c r="E167">
        <v>1154.22</v>
      </c>
      <c r="F167" t="s">
        <v>86</v>
      </c>
      <c r="G167">
        <v>1154.22</v>
      </c>
      <c r="H167">
        <v>1154.22</v>
      </c>
      <c r="I167" t="s">
        <v>108</v>
      </c>
      <c r="J167">
        <v>2026</v>
      </c>
      <c r="K167" s="248" t="s">
        <v>183</v>
      </c>
    </row>
    <row r="168" spans="1:11" x14ac:dyDescent="0.25">
      <c r="A168" s="115">
        <v>45932</v>
      </c>
      <c r="B168" s="248" t="s">
        <v>200</v>
      </c>
      <c r="C168" s="248" t="s">
        <v>202</v>
      </c>
      <c r="E168">
        <v>1136.23</v>
      </c>
      <c r="F168" t="s">
        <v>86</v>
      </c>
      <c r="G168">
        <v>1136.23</v>
      </c>
      <c r="H168">
        <v>1136.23</v>
      </c>
      <c r="I168" t="s">
        <v>119</v>
      </c>
      <c r="J168">
        <v>2025</v>
      </c>
      <c r="K168" s="248" t="s">
        <v>115</v>
      </c>
    </row>
    <row r="169" spans="1:11" x14ac:dyDescent="0.25">
      <c r="A169" s="115">
        <v>46262</v>
      </c>
      <c r="B169" s="248" t="s">
        <v>205</v>
      </c>
      <c r="C169" s="248" t="s">
        <v>206</v>
      </c>
      <c r="E169">
        <v>992.1</v>
      </c>
      <c r="F169" t="s">
        <v>86</v>
      </c>
      <c r="G169">
        <v>992.1</v>
      </c>
      <c r="H169">
        <v>992.1</v>
      </c>
      <c r="I169" t="s">
        <v>114</v>
      </c>
      <c r="J169">
        <v>2026</v>
      </c>
      <c r="K169" s="248" t="s">
        <v>179</v>
      </c>
    </row>
    <row r="170" spans="1:11" x14ac:dyDescent="0.25">
      <c r="A170" s="115">
        <v>46365</v>
      </c>
      <c r="B170" s="248" t="s">
        <v>213</v>
      </c>
      <c r="C170" s="248" t="s">
        <v>214</v>
      </c>
      <c r="E170">
        <v>914.19</v>
      </c>
      <c r="F170" t="s">
        <v>86</v>
      </c>
      <c r="G170">
        <v>914.19</v>
      </c>
      <c r="H170">
        <v>914.19</v>
      </c>
      <c r="I170" t="s">
        <v>79</v>
      </c>
      <c r="J170">
        <v>2026</v>
      </c>
      <c r="K170" s="248" t="s">
        <v>186</v>
      </c>
    </row>
    <row r="171" spans="1:11" x14ac:dyDescent="0.25">
      <c r="A171" s="115">
        <v>46224</v>
      </c>
      <c r="B171" s="248" t="s">
        <v>215</v>
      </c>
      <c r="C171" s="248" t="s">
        <v>216</v>
      </c>
      <c r="E171">
        <v>853.81</v>
      </c>
      <c r="F171" t="s">
        <v>86</v>
      </c>
      <c r="G171">
        <v>853.81</v>
      </c>
      <c r="H171">
        <v>853.81</v>
      </c>
      <c r="I171" t="s">
        <v>113</v>
      </c>
      <c r="J171">
        <v>2026</v>
      </c>
      <c r="K171" s="248" t="s">
        <v>117</v>
      </c>
    </row>
    <row r="172" spans="1:11" x14ac:dyDescent="0.25">
      <c r="A172" s="115">
        <v>45954</v>
      </c>
      <c r="B172" s="248" t="s">
        <v>205</v>
      </c>
      <c r="C172" s="248" t="s">
        <v>206</v>
      </c>
      <c r="E172">
        <v>839.8</v>
      </c>
      <c r="F172" t="s">
        <v>86</v>
      </c>
      <c r="G172">
        <v>839.8</v>
      </c>
      <c r="H172">
        <v>839.8</v>
      </c>
      <c r="I172" t="s">
        <v>119</v>
      </c>
      <c r="J172">
        <v>2025</v>
      </c>
      <c r="K172" s="248" t="s">
        <v>201</v>
      </c>
    </row>
    <row r="173" spans="1:11" x14ac:dyDescent="0.25">
      <c r="A173" s="115">
        <v>45845</v>
      </c>
      <c r="B173" s="248" t="s">
        <v>196</v>
      </c>
      <c r="C173" s="248" t="s">
        <v>197</v>
      </c>
      <c r="E173">
        <v>803.28</v>
      </c>
      <c r="F173" t="s">
        <v>86</v>
      </c>
      <c r="G173">
        <v>803.28</v>
      </c>
      <c r="H173">
        <v>803.28</v>
      </c>
      <c r="I173" t="s">
        <v>113</v>
      </c>
      <c r="J173">
        <v>2025</v>
      </c>
      <c r="K173" s="248" t="s">
        <v>115</v>
      </c>
    </row>
    <row r="174" spans="1:11" x14ac:dyDescent="0.25">
      <c r="A174" s="115">
        <v>46182</v>
      </c>
      <c r="B174" s="248" t="s">
        <v>107</v>
      </c>
      <c r="C174" s="248" t="s">
        <v>184</v>
      </c>
      <c r="E174">
        <v>693.57</v>
      </c>
      <c r="F174" t="s">
        <v>86</v>
      </c>
      <c r="G174">
        <v>693.57</v>
      </c>
      <c r="H174">
        <v>693.57</v>
      </c>
      <c r="I174" t="s">
        <v>112</v>
      </c>
      <c r="J174">
        <v>2026</v>
      </c>
      <c r="K174" s="248" t="s">
        <v>106</v>
      </c>
    </row>
    <row r="175" spans="1:11" x14ac:dyDescent="0.25">
      <c r="A175" s="115">
        <v>46031</v>
      </c>
      <c r="B175" s="248" t="s">
        <v>196</v>
      </c>
      <c r="C175" s="248" t="s">
        <v>197</v>
      </c>
      <c r="E175">
        <v>628.41999999999996</v>
      </c>
      <c r="F175" t="s">
        <v>86</v>
      </c>
      <c r="G175">
        <v>628.41999999999996</v>
      </c>
      <c r="H175">
        <v>628.41999999999996</v>
      </c>
      <c r="I175" t="s">
        <v>97</v>
      </c>
      <c r="J175">
        <v>2026</v>
      </c>
      <c r="K175" s="248" t="s">
        <v>186</v>
      </c>
    </row>
    <row r="176" spans="1:11" x14ac:dyDescent="0.25">
      <c r="A176" s="115">
        <v>45783</v>
      </c>
      <c r="B176" s="248" t="s">
        <v>181</v>
      </c>
      <c r="C176" s="248" t="s">
        <v>182</v>
      </c>
      <c r="E176">
        <v>515.11</v>
      </c>
      <c r="F176" t="s">
        <v>86</v>
      </c>
      <c r="G176">
        <v>515.11</v>
      </c>
      <c r="H176">
        <v>515.11</v>
      </c>
      <c r="I176" t="s">
        <v>111</v>
      </c>
      <c r="J176">
        <v>2025</v>
      </c>
      <c r="K176" s="248" t="s">
        <v>117</v>
      </c>
    </row>
    <row r="177" spans="1:11" x14ac:dyDescent="0.25">
      <c r="A177" s="115">
        <v>46378</v>
      </c>
      <c r="B177" s="248" t="s">
        <v>211</v>
      </c>
      <c r="C177" s="248" t="s">
        <v>212</v>
      </c>
      <c r="E177">
        <v>437.03</v>
      </c>
      <c r="F177" t="s">
        <v>86</v>
      </c>
      <c r="G177">
        <v>437.03</v>
      </c>
      <c r="H177">
        <v>437.03</v>
      </c>
      <c r="I177" t="s">
        <v>79</v>
      </c>
      <c r="J177">
        <v>2026</v>
      </c>
      <c r="K177" s="248" t="s">
        <v>179</v>
      </c>
    </row>
    <row r="178" spans="1:11" x14ac:dyDescent="0.25">
      <c r="A178" s="115">
        <v>45913</v>
      </c>
      <c r="B178" s="248" t="s">
        <v>217</v>
      </c>
      <c r="C178" s="248" t="s">
        <v>218</v>
      </c>
      <c r="E178">
        <v>345.7</v>
      </c>
      <c r="F178" t="s">
        <v>86</v>
      </c>
      <c r="G178">
        <v>345.7</v>
      </c>
      <c r="H178">
        <v>345.7</v>
      </c>
      <c r="I178" t="s">
        <v>118</v>
      </c>
      <c r="J178">
        <v>2025</v>
      </c>
      <c r="K178" s="248" t="s">
        <v>115</v>
      </c>
    </row>
    <row r="179" spans="1:11" x14ac:dyDescent="0.25">
      <c r="A179" s="115">
        <v>45773</v>
      </c>
      <c r="B179" s="248" t="s">
        <v>219</v>
      </c>
      <c r="C179" s="248" t="s">
        <v>220</v>
      </c>
      <c r="E179">
        <v>203.67</v>
      </c>
      <c r="F179" t="s">
        <v>86</v>
      </c>
      <c r="G179">
        <v>203.67</v>
      </c>
      <c r="H179">
        <v>203.67</v>
      </c>
      <c r="I179" t="s">
        <v>110</v>
      </c>
      <c r="J179">
        <v>2025</v>
      </c>
      <c r="K179" s="248" t="s">
        <v>183</v>
      </c>
    </row>
    <row r="180" spans="1:11" x14ac:dyDescent="0.25">
      <c r="A180" s="115">
        <v>46371</v>
      </c>
      <c r="B180" s="248" t="s">
        <v>190</v>
      </c>
      <c r="C180" s="248" t="s">
        <v>191</v>
      </c>
      <c r="D180">
        <v>-6.21</v>
      </c>
      <c r="F180" t="s">
        <v>85</v>
      </c>
      <c r="G180">
        <v>6.21</v>
      </c>
      <c r="H180">
        <v>-6.21</v>
      </c>
      <c r="I180" t="s">
        <v>79</v>
      </c>
      <c r="J180">
        <v>2026</v>
      </c>
      <c r="K180" s="248" t="s">
        <v>186</v>
      </c>
    </row>
    <row r="181" spans="1:11" x14ac:dyDescent="0.25">
      <c r="A181" s="115">
        <v>45922</v>
      </c>
      <c r="B181" s="248" t="s">
        <v>200</v>
      </c>
      <c r="C181" s="248" t="s">
        <v>202</v>
      </c>
      <c r="D181">
        <v>-12.22</v>
      </c>
      <c r="F181" t="s">
        <v>85</v>
      </c>
      <c r="G181">
        <v>12.22</v>
      </c>
      <c r="H181">
        <v>-12.22</v>
      </c>
      <c r="I181" t="s">
        <v>118</v>
      </c>
      <c r="J181">
        <v>2025</v>
      </c>
      <c r="K181" s="248" t="s">
        <v>183</v>
      </c>
    </row>
    <row r="182" spans="1:11" x14ac:dyDescent="0.25">
      <c r="A182" s="115">
        <v>46094</v>
      </c>
      <c r="B182" s="248" t="s">
        <v>205</v>
      </c>
      <c r="C182" s="248" t="s">
        <v>206</v>
      </c>
      <c r="D182">
        <v>-12.69</v>
      </c>
      <c r="F182" t="s">
        <v>85</v>
      </c>
      <c r="G182">
        <v>12.69</v>
      </c>
      <c r="H182">
        <v>-12.69</v>
      </c>
      <c r="I182" t="s">
        <v>109</v>
      </c>
      <c r="J182">
        <v>2026</v>
      </c>
      <c r="K182" s="248" t="s">
        <v>106</v>
      </c>
    </row>
    <row r="183" spans="1:11" x14ac:dyDescent="0.25">
      <c r="A183" s="115">
        <v>46362</v>
      </c>
      <c r="B183" s="248" t="s">
        <v>221</v>
      </c>
      <c r="C183" s="248" t="s">
        <v>222</v>
      </c>
      <c r="D183">
        <v>-14.81</v>
      </c>
      <c r="F183" t="s">
        <v>85</v>
      </c>
      <c r="G183">
        <v>14.81</v>
      </c>
      <c r="H183">
        <v>-14.81</v>
      </c>
      <c r="I183" t="s">
        <v>79</v>
      </c>
      <c r="J183">
        <v>2026</v>
      </c>
      <c r="K183" s="248" t="s">
        <v>201</v>
      </c>
    </row>
    <row r="184" spans="1:11" x14ac:dyDescent="0.25">
      <c r="A184" s="115">
        <v>45662</v>
      </c>
      <c r="B184" s="248" t="s">
        <v>211</v>
      </c>
      <c r="C184" s="248" t="s">
        <v>212</v>
      </c>
      <c r="D184">
        <v>-16.05</v>
      </c>
      <c r="F184" t="s">
        <v>85</v>
      </c>
      <c r="G184">
        <v>16.05</v>
      </c>
      <c r="H184">
        <v>-16.05</v>
      </c>
      <c r="I184" t="s">
        <v>97</v>
      </c>
      <c r="J184">
        <v>2025</v>
      </c>
      <c r="K184" s="248" t="s">
        <v>186</v>
      </c>
    </row>
    <row r="185" spans="1:11" x14ac:dyDescent="0.25">
      <c r="A185" s="115">
        <v>45713</v>
      </c>
      <c r="B185" s="248" t="s">
        <v>190</v>
      </c>
      <c r="C185" s="248" t="s">
        <v>191</v>
      </c>
      <c r="D185">
        <v>-16.13</v>
      </c>
      <c r="F185" t="s">
        <v>85</v>
      </c>
      <c r="G185">
        <v>16.13</v>
      </c>
      <c r="H185">
        <v>-16.13</v>
      </c>
      <c r="I185" t="s">
        <v>108</v>
      </c>
      <c r="J185">
        <v>2025</v>
      </c>
      <c r="K185" s="248" t="s">
        <v>201</v>
      </c>
    </row>
    <row r="186" spans="1:11" x14ac:dyDescent="0.25">
      <c r="A186" s="115">
        <v>46172</v>
      </c>
      <c r="B186" s="248" t="s">
        <v>178</v>
      </c>
      <c r="C186" s="248" t="s">
        <v>180</v>
      </c>
      <c r="D186">
        <v>-17.27</v>
      </c>
      <c r="F186" t="s">
        <v>85</v>
      </c>
      <c r="G186">
        <v>17.27</v>
      </c>
      <c r="H186">
        <v>-17.27</v>
      </c>
      <c r="I186" t="s">
        <v>111</v>
      </c>
      <c r="J186">
        <v>2026</v>
      </c>
      <c r="K186" s="248" t="s">
        <v>186</v>
      </c>
    </row>
    <row r="187" spans="1:11" x14ac:dyDescent="0.25">
      <c r="A187" s="115">
        <v>45762</v>
      </c>
      <c r="B187" s="248" t="s">
        <v>190</v>
      </c>
      <c r="C187" s="248" t="s">
        <v>191</v>
      </c>
      <c r="D187">
        <v>-17.440000000000001</v>
      </c>
      <c r="F187" t="s">
        <v>85</v>
      </c>
      <c r="G187">
        <v>17.440000000000001</v>
      </c>
      <c r="H187">
        <v>-17.440000000000001</v>
      </c>
      <c r="I187" t="s">
        <v>110</v>
      </c>
      <c r="J187">
        <v>2025</v>
      </c>
      <c r="K187" s="248" t="s">
        <v>201</v>
      </c>
    </row>
    <row r="188" spans="1:11" x14ac:dyDescent="0.25">
      <c r="A188" s="115">
        <v>45808</v>
      </c>
      <c r="B188" s="248" t="s">
        <v>217</v>
      </c>
      <c r="C188" s="248" t="s">
        <v>218</v>
      </c>
      <c r="D188">
        <v>-17.989999999999998</v>
      </c>
      <c r="F188" t="s">
        <v>85</v>
      </c>
      <c r="G188">
        <v>17.989999999999998</v>
      </c>
      <c r="H188">
        <v>-17.989999999999998</v>
      </c>
      <c r="I188" t="s">
        <v>111</v>
      </c>
      <c r="J188">
        <v>2025</v>
      </c>
      <c r="K188" s="248" t="s">
        <v>117</v>
      </c>
    </row>
    <row r="189" spans="1:11" x14ac:dyDescent="0.25">
      <c r="A189" s="115">
        <v>46262</v>
      </c>
      <c r="B189" s="248" t="s">
        <v>223</v>
      </c>
      <c r="C189" s="248" t="s">
        <v>224</v>
      </c>
      <c r="D189">
        <v>-20.55</v>
      </c>
      <c r="F189" t="s">
        <v>85</v>
      </c>
      <c r="G189">
        <v>20.55</v>
      </c>
      <c r="H189">
        <v>-20.55</v>
      </c>
      <c r="I189" t="s">
        <v>114</v>
      </c>
      <c r="J189">
        <v>2026</v>
      </c>
      <c r="K189" s="248" t="s">
        <v>201</v>
      </c>
    </row>
    <row r="190" spans="1:11" x14ac:dyDescent="0.25">
      <c r="A190" s="115">
        <v>45720</v>
      </c>
      <c r="B190" s="248" t="s">
        <v>219</v>
      </c>
      <c r="C190" s="248" t="s">
        <v>220</v>
      </c>
      <c r="D190">
        <v>-21.26</v>
      </c>
      <c r="F190" t="s">
        <v>85</v>
      </c>
      <c r="G190">
        <v>21.26</v>
      </c>
      <c r="H190">
        <v>-21.26</v>
      </c>
      <c r="I190" t="s">
        <v>109</v>
      </c>
      <c r="J190">
        <v>2025</v>
      </c>
      <c r="K190" s="248" t="s">
        <v>186</v>
      </c>
    </row>
    <row r="191" spans="1:11" x14ac:dyDescent="0.25">
      <c r="A191" s="115">
        <v>46303</v>
      </c>
      <c r="B191" s="248" t="s">
        <v>223</v>
      </c>
      <c r="C191" s="248" t="s">
        <v>224</v>
      </c>
      <c r="D191">
        <v>-22.41</v>
      </c>
      <c r="F191" t="s">
        <v>85</v>
      </c>
      <c r="G191">
        <v>22.41</v>
      </c>
      <c r="H191">
        <v>-22.41</v>
      </c>
      <c r="I191" t="s">
        <v>119</v>
      </c>
      <c r="J191">
        <v>2026</v>
      </c>
      <c r="K191" s="248" t="s">
        <v>106</v>
      </c>
    </row>
    <row r="192" spans="1:11" x14ac:dyDescent="0.25">
      <c r="A192" s="115">
        <v>46124</v>
      </c>
      <c r="B192" s="248" t="s">
        <v>200</v>
      </c>
      <c r="C192" s="248" t="s">
        <v>202</v>
      </c>
      <c r="D192">
        <v>-25.99</v>
      </c>
      <c r="F192" t="s">
        <v>85</v>
      </c>
      <c r="G192">
        <v>25.99</v>
      </c>
      <c r="H192">
        <v>-25.99</v>
      </c>
      <c r="I192" t="s">
        <v>110</v>
      </c>
      <c r="J192">
        <v>2026</v>
      </c>
      <c r="K192" s="248" t="s">
        <v>183</v>
      </c>
    </row>
    <row r="193" spans="1:11" x14ac:dyDescent="0.25">
      <c r="A193" s="115">
        <v>46151</v>
      </c>
      <c r="B193" s="248" t="s">
        <v>107</v>
      </c>
      <c r="C193" s="248" t="s">
        <v>184</v>
      </c>
      <c r="D193">
        <v>-28.73</v>
      </c>
      <c r="F193" t="s">
        <v>85</v>
      </c>
      <c r="G193">
        <v>28.73</v>
      </c>
      <c r="H193">
        <v>-28.73</v>
      </c>
      <c r="I193" t="s">
        <v>111</v>
      </c>
      <c r="J193">
        <v>2026</v>
      </c>
      <c r="K193" s="248" t="s">
        <v>179</v>
      </c>
    </row>
    <row r="194" spans="1:11" x14ac:dyDescent="0.25">
      <c r="A194" s="115">
        <v>45785</v>
      </c>
      <c r="B194" s="248" t="s">
        <v>223</v>
      </c>
      <c r="C194" s="248" t="s">
        <v>224</v>
      </c>
      <c r="D194">
        <v>-29.43</v>
      </c>
      <c r="F194" t="s">
        <v>85</v>
      </c>
      <c r="G194">
        <v>29.43</v>
      </c>
      <c r="H194">
        <v>-29.43</v>
      </c>
      <c r="I194" t="s">
        <v>111</v>
      </c>
      <c r="J194">
        <v>2025</v>
      </c>
      <c r="K194" s="248" t="s">
        <v>115</v>
      </c>
    </row>
    <row r="195" spans="1:11" x14ac:dyDescent="0.25">
      <c r="A195" s="115">
        <v>45663</v>
      </c>
      <c r="B195" s="248" t="s">
        <v>203</v>
      </c>
      <c r="C195" s="248" t="s">
        <v>204</v>
      </c>
      <c r="D195">
        <v>-29.71</v>
      </c>
      <c r="F195" t="s">
        <v>85</v>
      </c>
      <c r="G195">
        <v>29.71</v>
      </c>
      <c r="H195">
        <v>-29.71</v>
      </c>
      <c r="I195" t="s">
        <v>97</v>
      </c>
      <c r="J195">
        <v>2025</v>
      </c>
      <c r="K195" s="248" t="s">
        <v>106</v>
      </c>
    </row>
    <row r="196" spans="1:11" x14ac:dyDescent="0.25">
      <c r="A196" s="115">
        <v>46121</v>
      </c>
      <c r="B196" s="248" t="s">
        <v>196</v>
      </c>
      <c r="C196" s="248" t="s">
        <v>197</v>
      </c>
      <c r="D196">
        <v>-30.83</v>
      </c>
      <c r="F196" t="s">
        <v>85</v>
      </c>
      <c r="G196">
        <v>30.83</v>
      </c>
      <c r="H196">
        <v>-30.83</v>
      </c>
      <c r="I196" t="s">
        <v>110</v>
      </c>
      <c r="J196">
        <v>2026</v>
      </c>
      <c r="K196" s="248" t="s">
        <v>117</v>
      </c>
    </row>
    <row r="197" spans="1:11" x14ac:dyDescent="0.25">
      <c r="A197" s="115">
        <v>46190</v>
      </c>
      <c r="B197" s="248" t="s">
        <v>188</v>
      </c>
      <c r="C197" s="248" t="s">
        <v>189</v>
      </c>
      <c r="D197">
        <v>-32.369999999999997</v>
      </c>
      <c r="F197" t="s">
        <v>85</v>
      </c>
      <c r="G197">
        <v>32.369999999999997</v>
      </c>
      <c r="H197">
        <v>-32.369999999999997</v>
      </c>
      <c r="I197" t="s">
        <v>112</v>
      </c>
      <c r="J197">
        <v>2026</v>
      </c>
      <c r="K197" s="248" t="s">
        <v>117</v>
      </c>
    </row>
    <row r="198" spans="1:11" x14ac:dyDescent="0.25">
      <c r="A198" s="115">
        <v>46192</v>
      </c>
      <c r="B198" s="248" t="s">
        <v>207</v>
      </c>
      <c r="C198" s="248" t="s">
        <v>208</v>
      </c>
      <c r="D198">
        <v>-33.04</v>
      </c>
      <c r="F198" t="s">
        <v>85</v>
      </c>
      <c r="G198">
        <v>33.04</v>
      </c>
      <c r="H198">
        <v>-33.04</v>
      </c>
      <c r="I198" t="s">
        <v>112</v>
      </c>
      <c r="J198">
        <v>2026</v>
      </c>
      <c r="K198" s="248" t="s">
        <v>183</v>
      </c>
    </row>
    <row r="199" spans="1:11" x14ac:dyDescent="0.25">
      <c r="A199" s="115">
        <v>45882</v>
      </c>
      <c r="B199" s="248" t="s">
        <v>107</v>
      </c>
      <c r="C199" s="248" t="s">
        <v>184</v>
      </c>
      <c r="D199">
        <v>-38.44</v>
      </c>
      <c r="F199" t="s">
        <v>85</v>
      </c>
      <c r="G199">
        <v>38.44</v>
      </c>
      <c r="H199">
        <v>-38.44</v>
      </c>
      <c r="I199" t="s">
        <v>114</v>
      </c>
      <c r="J199">
        <v>2025</v>
      </c>
      <c r="K199" s="248" t="s">
        <v>201</v>
      </c>
    </row>
    <row r="200" spans="1:11" x14ac:dyDescent="0.25">
      <c r="A200" s="115">
        <v>45890</v>
      </c>
      <c r="B200" s="248" t="s">
        <v>198</v>
      </c>
      <c r="C200" s="248" t="s">
        <v>199</v>
      </c>
      <c r="D200">
        <v>-39.4</v>
      </c>
      <c r="F200" t="s">
        <v>85</v>
      </c>
      <c r="G200">
        <v>39.4</v>
      </c>
      <c r="H200">
        <v>-39.4</v>
      </c>
      <c r="I200" t="s">
        <v>114</v>
      </c>
      <c r="J200">
        <v>2025</v>
      </c>
      <c r="K200" s="248" t="s">
        <v>115</v>
      </c>
    </row>
    <row r="201" spans="1:11" x14ac:dyDescent="0.25">
      <c r="A201" s="115">
        <v>46213</v>
      </c>
      <c r="B201" s="248" t="s">
        <v>198</v>
      </c>
      <c r="C201" s="248" t="s">
        <v>199</v>
      </c>
      <c r="D201">
        <v>-40.4</v>
      </c>
      <c r="F201" t="s">
        <v>85</v>
      </c>
      <c r="G201">
        <v>40.4</v>
      </c>
      <c r="H201">
        <v>-40.4</v>
      </c>
      <c r="I201" t="s">
        <v>113</v>
      </c>
      <c r="J201">
        <v>2026</v>
      </c>
      <c r="K201" s="248" t="s">
        <v>183</v>
      </c>
    </row>
    <row r="202" spans="1:11" x14ac:dyDescent="0.25">
      <c r="A202" s="115">
        <v>46306</v>
      </c>
      <c r="B202" s="248" t="s">
        <v>116</v>
      </c>
      <c r="C202" s="248" t="s">
        <v>225</v>
      </c>
      <c r="D202">
        <v>-41.22</v>
      </c>
      <c r="F202" t="s">
        <v>85</v>
      </c>
      <c r="G202">
        <v>41.22</v>
      </c>
      <c r="H202">
        <v>-41.22</v>
      </c>
      <c r="I202" t="s">
        <v>119</v>
      </c>
      <c r="J202">
        <v>2026</v>
      </c>
      <c r="K202" s="248" t="s">
        <v>183</v>
      </c>
    </row>
    <row r="203" spans="1:11" x14ac:dyDescent="0.25">
      <c r="A203" s="115">
        <v>45676</v>
      </c>
      <c r="B203" s="248" t="s">
        <v>188</v>
      </c>
      <c r="C203" s="248" t="s">
        <v>189</v>
      </c>
      <c r="D203">
        <v>-41.55</v>
      </c>
      <c r="F203" t="s">
        <v>85</v>
      </c>
      <c r="G203">
        <v>41.55</v>
      </c>
      <c r="H203">
        <v>-41.55</v>
      </c>
      <c r="I203" t="s">
        <v>97</v>
      </c>
      <c r="J203">
        <v>2025</v>
      </c>
      <c r="K203" s="248" t="s">
        <v>179</v>
      </c>
    </row>
    <row r="204" spans="1:11" x14ac:dyDescent="0.25">
      <c r="A204" s="115">
        <v>46004</v>
      </c>
      <c r="B204" s="248" t="s">
        <v>213</v>
      </c>
      <c r="C204" s="248" t="s">
        <v>214</v>
      </c>
      <c r="D204">
        <v>-42.01</v>
      </c>
      <c r="F204" t="s">
        <v>85</v>
      </c>
      <c r="G204">
        <v>42.01</v>
      </c>
      <c r="H204">
        <v>-42.01</v>
      </c>
      <c r="I204" t="s">
        <v>79</v>
      </c>
      <c r="J204">
        <v>2025</v>
      </c>
      <c r="K204" s="248" t="s">
        <v>179</v>
      </c>
    </row>
    <row r="205" spans="1:11" x14ac:dyDescent="0.25">
      <c r="A205" s="115">
        <v>46222</v>
      </c>
      <c r="B205" s="248" t="s">
        <v>178</v>
      </c>
      <c r="C205" s="248" t="s">
        <v>180</v>
      </c>
      <c r="D205">
        <v>-42.66</v>
      </c>
      <c r="F205" t="s">
        <v>85</v>
      </c>
      <c r="G205">
        <v>42.66</v>
      </c>
      <c r="H205">
        <v>-42.66</v>
      </c>
      <c r="I205" t="s">
        <v>113</v>
      </c>
      <c r="J205">
        <v>2026</v>
      </c>
      <c r="K205" s="248" t="s">
        <v>106</v>
      </c>
    </row>
    <row r="206" spans="1:11" x14ac:dyDescent="0.25">
      <c r="A206" s="115">
        <v>45917</v>
      </c>
      <c r="B206" s="248" t="s">
        <v>178</v>
      </c>
      <c r="C206" s="248" t="s">
        <v>180</v>
      </c>
      <c r="D206">
        <v>-46.1</v>
      </c>
      <c r="F206" t="s">
        <v>85</v>
      </c>
      <c r="G206">
        <v>46.1</v>
      </c>
      <c r="H206">
        <v>-46.1</v>
      </c>
      <c r="I206" t="s">
        <v>118</v>
      </c>
      <c r="J206">
        <v>2025</v>
      </c>
      <c r="K206" s="248" t="s">
        <v>115</v>
      </c>
    </row>
    <row r="207" spans="1:11" x14ac:dyDescent="0.25">
      <c r="A207" s="115">
        <v>45736</v>
      </c>
      <c r="B207" s="248" t="s">
        <v>223</v>
      </c>
      <c r="C207" s="248" t="s">
        <v>224</v>
      </c>
      <c r="D207">
        <v>-48.29</v>
      </c>
      <c r="F207" t="s">
        <v>85</v>
      </c>
      <c r="G207">
        <v>48.29</v>
      </c>
      <c r="H207">
        <v>-48.29</v>
      </c>
      <c r="I207" t="s">
        <v>109</v>
      </c>
      <c r="J207">
        <v>2025</v>
      </c>
      <c r="K207" s="248" t="s">
        <v>115</v>
      </c>
    </row>
    <row r="208" spans="1:11" x14ac:dyDescent="0.25">
      <c r="A208" s="115">
        <v>46325</v>
      </c>
      <c r="B208" s="248" t="s">
        <v>190</v>
      </c>
      <c r="C208" s="248" t="s">
        <v>191</v>
      </c>
      <c r="D208">
        <v>-50.94</v>
      </c>
      <c r="F208" t="s">
        <v>85</v>
      </c>
      <c r="G208">
        <v>50.94</v>
      </c>
      <c r="H208">
        <v>-50.94</v>
      </c>
      <c r="I208" t="s">
        <v>119</v>
      </c>
      <c r="J208">
        <v>2026</v>
      </c>
      <c r="K208" s="248" t="s">
        <v>117</v>
      </c>
    </row>
    <row r="209" spans="1:11" x14ac:dyDescent="0.25">
      <c r="A209" s="115">
        <v>45982</v>
      </c>
      <c r="B209" s="248" t="s">
        <v>181</v>
      </c>
      <c r="C209" s="248" t="s">
        <v>182</v>
      </c>
      <c r="D209">
        <v>-51.67</v>
      </c>
      <c r="F209" t="s">
        <v>85</v>
      </c>
      <c r="G209">
        <v>51.67</v>
      </c>
      <c r="H209">
        <v>-51.67</v>
      </c>
      <c r="I209" t="s">
        <v>80</v>
      </c>
      <c r="J209">
        <v>2025</v>
      </c>
      <c r="K209" s="248" t="s">
        <v>201</v>
      </c>
    </row>
    <row r="210" spans="1:11" x14ac:dyDescent="0.25">
      <c r="A210" s="115">
        <v>46045</v>
      </c>
      <c r="B210" s="248" t="s">
        <v>203</v>
      </c>
      <c r="C210" s="248" t="s">
        <v>204</v>
      </c>
      <c r="D210">
        <v>-51.85</v>
      </c>
      <c r="F210" t="s">
        <v>85</v>
      </c>
      <c r="G210">
        <v>51.85</v>
      </c>
      <c r="H210">
        <v>-51.85</v>
      </c>
      <c r="I210" t="s">
        <v>97</v>
      </c>
      <c r="J210">
        <v>2026</v>
      </c>
      <c r="K210" s="248" t="s">
        <v>115</v>
      </c>
    </row>
    <row r="211" spans="1:11" x14ac:dyDescent="0.25">
      <c r="A211" s="115">
        <v>46048</v>
      </c>
      <c r="B211" s="248" t="s">
        <v>117</v>
      </c>
      <c r="C211" s="248" t="s">
        <v>226</v>
      </c>
      <c r="D211">
        <v>-54.89</v>
      </c>
      <c r="F211" t="s">
        <v>85</v>
      </c>
      <c r="G211">
        <v>54.89</v>
      </c>
      <c r="H211">
        <v>-54.89</v>
      </c>
      <c r="I211" t="s">
        <v>97</v>
      </c>
      <c r="J211">
        <v>2026</v>
      </c>
      <c r="K211" s="248" t="s">
        <v>179</v>
      </c>
    </row>
    <row r="212" spans="1:11" x14ac:dyDescent="0.25">
      <c r="A212" s="115">
        <v>46240</v>
      </c>
      <c r="B212" s="248" t="s">
        <v>223</v>
      </c>
      <c r="C212" s="248" t="s">
        <v>224</v>
      </c>
      <c r="D212">
        <v>-54.94</v>
      </c>
      <c r="F212" t="s">
        <v>85</v>
      </c>
      <c r="G212">
        <v>54.94</v>
      </c>
      <c r="H212">
        <v>-54.94</v>
      </c>
      <c r="I212" t="s">
        <v>114</v>
      </c>
      <c r="J212">
        <v>2026</v>
      </c>
      <c r="K212" s="248" t="s">
        <v>106</v>
      </c>
    </row>
    <row r="213" spans="1:11" x14ac:dyDescent="0.25">
      <c r="A213" s="115">
        <v>45779</v>
      </c>
      <c r="B213" s="248" t="s">
        <v>213</v>
      </c>
      <c r="C213" s="248" t="s">
        <v>214</v>
      </c>
      <c r="D213">
        <v>-55.73</v>
      </c>
      <c r="F213" t="s">
        <v>85</v>
      </c>
      <c r="G213">
        <v>55.73</v>
      </c>
      <c r="H213">
        <v>-55.73</v>
      </c>
      <c r="I213" t="s">
        <v>111</v>
      </c>
      <c r="J213">
        <v>2025</v>
      </c>
      <c r="K213" s="248" t="s">
        <v>117</v>
      </c>
    </row>
    <row r="214" spans="1:11" x14ac:dyDescent="0.25">
      <c r="A214" s="115">
        <v>45811</v>
      </c>
      <c r="B214" s="248" t="s">
        <v>185</v>
      </c>
      <c r="C214" s="248" t="s">
        <v>187</v>
      </c>
      <c r="D214">
        <v>-57.24</v>
      </c>
      <c r="F214" t="s">
        <v>85</v>
      </c>
      <c r="G214">
        <v>57.24</v>
      </c>
      <c r="H214">
        <v>-57.24</v>
      </c>
      <c r="I214" t="s">
        <v>112</v>
      </c>
      <c r="J214">
        <v>2025</v>
      </c>
      <c r="K214" s="248" t="s">
        <v>183</v>
      </c>
    </row>
    <row r="215" spans="1:11" x14ac:dyDescent="0.25">
      <c r="A215" s="115">
        <v>45826</v>
      </c>
      <c r="B215" s="248" t="s">
        <v>178</v>
      </c>
      <c r="C215" s="248" t="s">
        <v>180</v>
      </c>
      <c r="D215">
        <v>-58.37</v>
      </c>
      <c r="F215" t="s">
        <v>85</v>
      </c>
      <c r="G215">
        <v>58.37</v>
      </c>
      <c r="H215">
        <v>-58.37</v>
      </c>
      <c r="I215" t="s">
        <v>112</v>
      </c>
      <c r="J215">
        <v>2025</v>
      </c>
      <c r="K215" s="248" t="s">
        <v>115</v>
      </c>
    </row>
    <row r="216" spans="1:11" x14ac:dyDescent="0.25">
      <c r="A216" s="115">
        <v>46146</v>
      </c>
      <c r="B216" s="248" t="s">
        <v>223</v>
      </c>
      <c r="C216" s="248" t="s">
        <v>224</v>
      </c>
      <c r="D216">
        <v>-59.03</v>
      </c>
      <c r="F216" t="s">
        <v>85</v>
      </c>
      <c r="G216">
        <v>59.03</v>
      </c>
      <c r="H216">
        <v>-59.03</v>
      </c>
      <c r="I216" t="s">
        <v>111</v>
      </c>
      <c r="J216">
        <v>2026</v>
      </c>
      <c r="K216" s="248" t="s">
        <v>117</v>
      </c>
    </row>
    <row r="217" spans="1:11" x14ac:dyDescent="0.25">
      <c r="A217" s="115">
        <v>46109</v>
      </c>
      <c r="B217" s="248" t="s">
        <v>178</v>
      </c>
      <c r="C217" s="248" t="s">
        <v>180</v>
      </c>
      <c r="D217">
        <v>-61.18</v>
      </c>
      <c r="F217" t="s">
        <v>85</v>
      </c>
      <c r="G217">
        <v>61.18</v>
      </c>
      <c r="H217">
        <v>-61.18</v>
      </c>
      <c r="I217" t="s">
        <v>109</v>
      </c>
      <c r="J217">
        <v>2026</v>
      </c>
      <c r="K217" s="248" t="s">
        <v>183</v>
      </c>
    </row>
    <row r="218" spans="1:11" x14ac:dyDescent="0.25">
      <c r="A218" s="115">
        <v>45790</v>
      </c>
      <c r="B218" s="248" t="s">
        <v>178</v>
      </c>
      <c r="C218" s="248" t="s">
        <v>180</v>
      </c>
      <c r="D218">
        <v>-61.69</v>
      </c>
      <c r="F218" t="s">
        <v>85</v>
      </c>
      <c r="G218">
        <v>61.69</v>
      </c>
      <c r="H218">
        <v>-61.69</v>
      </c>
      <c r="I218" t="s">
        <v>111</v>
      </c>
      <c r="J218">
        <v>2025</v>
      </c>
      <c r="K218" s="248" t="s">
        <v>201</v>
      </c>
    </row>
    <row r="219" spans="1:11" x14ac:dyDescent="0.25">
      <c r="A219" s="115">
        <v>46075</v>
      </c>
      <c r="B219" s="248" t="s">
        <v>211</v>
      </c>
      <c r="C219" s="248" t="s">
        <v>212</v>
      </c>
      <c r="D219">
        <v>-61.71</v>
      </c>
      <c r="F219" t="s">
        <v>85</v>
      </c>
      <c r="G219">
        <v>61.71</v>
      </c>
      <c r="H219">
        <v>-61.71</v>
      </c>
      <c r="I219" t="s">
        <v>108</v>
      </c>
      <c r="J219">
        <v>2026</v>
      </c>
      <c r="K219" s="248" t="s">
        <v>117</v>
      </c>
    </row>
    <row r="220" spans="1:11" x14ac:dyDescent="0.25">
      <c r="A220" s="115">
        <v>45872</v>
      </c>
      <c r="B220" s="248" t="s">
        <v>178</v>
      </c>
      <c r="C220" s="248" t="s">
        <v>180</v>
      </c>
      <c r="D220">
        <v>-63.74</v>
      </c>
      <c r="F220" t="s">
        <v>85</v>
      </c>
      <c r="G220">
        <v>63.74</v>
      </c>
      <c r="H220">
        <v>-63.74</v>
      </c>
      <c r="I220" t="s">
        <v>114</v>
      </c>
      <c r="J220">
        <v>2025</v>
      </c>
      <c r="K220" s="248" t="s">
        <v>117</v>
      </c>
    </row>
    <row r="221" spans="1:11" x14ac:dyDescent="0.25">
      <c r="A221" s="115">
        <v>46368</v>
      </c>
      <c r="B221" s="248" t="s">
        <v>178</v>
      </c>
      <c r="C221" s="248" t="s">
        <v>180</v>
      </c>
      <c r="D221">
        <v>-67.66</v>
      </c>
      <c r="F221" t="s">
        <v>85</v>
      </c>
      <c r="G221">
        <v>67.66</v>
      </c>
      <c r="H221">
        <v>-67.66</v>
      </c>
      <c r="I221" t="s">
        <v>79</v>
      </c>
      <c r="J221">
        <v>2026</v>
      </c>
      <c r="K221" s="248" t="s">
        <v>186</v>
      </c>
    </row>
    <row r="222" spans="1:11" x14ac:dyDescent="0.25">
      <c r="A222" s="115">
        <v>46124</v>
      </c>
      <c r="B222" s="248" t="s">
        <v>188</v>
      </c>
      <c r="C222" s="248" t="s">
        <v>189</v>
      </c>
      <c r="D222">
        <v>-67.790000000000006</v>
      </c>
      <c r="F222" t="s">
        <v>85</v>
      </c>
      <c r="G222">
        <v>67.790000000000006</v>
      </c>
      <c r="H222">
        <v>-67.790000000000006</v>
      </c>
      <c r="I222" t="s">
        <v>110</v>
      </c>
      <c r="J222">
        <v>2026</v>
      </c>
      <c r="K222" s="248" t="s">
        <v>117</v>
      </c>
    </row>
    <row r="223" spans="1:11" x14ac:dyDescent="0.25">
      <c r="A223" s="115">
        <v>45893</v>
      </c>
      <c r="B223" s="248" t="s">
        <v>178</v>
      </c>
      <c r="C223" s="248" t="s">
        <v>180</v>
      </c>
      <c r="D223">
        <v>-67.94</v>
      </c>
      <c r="F223" t="s">
        <v>85</v>
      </c>
      <c r="G223">
        <v>67.94</v>
      </c>
      <c r="H223">
        <v>-67.94</v>
      </c>
      <c r="I223" t="s">
        <v>114</v>
      </c>
      <c r="J223">
        <v>2025</v>
      </c>
      <c r="K223" s="248" t="s">
        <v>179</v>
      </c>
    </row>
    <row r="224" spans="1:11" x14ac:dyDescent="0.25">
      <c r="A224" s="115">
        <v>45830</v>
      </c>
      <c r="B224" s="248" t="s">
        <v>213</v>
      </c>
      <c r="C224" s="248" t="s">
        <v>214</v>
      </c>
      <c r="D224">
        <v>-69.709999999999994</v>
      </c>
      <c r="F224" t="s">
        <v>85</v>
      </c>
      <c r="G224">
        <v>69.709999999999994</v>
      </c>
      <c r="H224">
        <v>-69.709999999999994</v>
      </c>
      <c r="I224" t="s">
        <v>112</v>
      </c>
      <c r="J224">
        <v>2025</v>
      </c>
      <c r="K224" s="248" t="s">
        <v>186</v>
      </c>
    </row>
    <row r="225" spans="1:11" x14ac:dyDescent="0.25">
      <c r="A225" s="115">
        <v>45958</v>
      </c>
      <c r="B225" s="248" t="s">
        <v>213</v>
      </c>
      <c r="C225" s="248" t="s">
        <v>214</v>
      </c>
      <c r="D225">
        <v>-69.849999999999994</v>
      </c>
      <c r="F225" t="s">
        <v>85</v>
      </c>
      <c r="G225">
        <v>69.849999999999994</v>
      </c>
      <c r="H225">
        <v>-69.849999999999994</v>
      </c>
      <c r="I225" t="s">
        <v>119</v>
      </c>
      <c r="J225">
        <v>2025</v>
      </c>
      <c r="K225" s="248" t="s">
        <v>106</v>
      </c>
    </row>
    <row r="226" spans="1:11" x14ac:dyDescent="0.25">
      <c r="A226" s="115">
        <v>45734</v>
      </c>
      <c r="B226" s="248" t="s">
        <v>198</v>
      </c>
      <c r="C226" s="248" t="s">
        <v>199</v>
      </c>
      <c r="D226">
        <v>-70.31</v>
      </c>
      <c r="F226" t="s">
        <v>85</v>
      </c>
      <c r="G226">
        <v>70.31</v>
      </c>
      <c r="H226">
        <v>-70.31</v>
      </c>
      <c r="I226" t="s">
        <v>109</v>
      </c>
      <c r="J226">
        <v>2025</v>
      </c>
      <c r="K226" s="248" t="s">
        <v>115</v>
      </c>
    </row>
    <row r="227" spans="1:11" x14ac:dyDescent="0.25">
      <c r="A227" s="115">
        <v>46200</v>
      </c>
      <c r="B227" s="248" t="s">
        <v>196</v>
      </c>
      <c r="C227" s="248" t="s">
        <v>197</v>
      </c>
      <c r="D227">
        <v>-70.39</v>
      </c>
      <c r="F227" t="s">
        <v>85</v>
      </c>
      <c r="G227">
        <v>70.39</v>
      </c>
      <c r="H227">
        <v>-70.39</v>
      </c>
      <c r="I227" t="s">
        <v>112</v>
      </c>
      <c r="J227">
        <v>2026</v>
      </c>
      <c r="K227" s="248" t="s">
        <v>201</v>
      </c>
    </row>
    <row r="228" spans="1:11" x14ac:dyDescent="0.25">
      <c r="A228" s="115">
        <v>46174</v>
      </c>
      <c r="B228" s="248" t="s">
        <v>205</v>
      </c>
      <c r="C228" s="248" t="s">
        <v>206</v>
      </c>
      <c r="D228">
        <v>-72.02</v>
      </c>
      <c r="F228" t="s">
        <v>85</v>
      </c>
      <c r="G228">
        <v>72.02</v>
      </c>
      <c r="H228">
        <v>-72.02</v>
      </c>
      <c r="I228" t="s">
        <v>112</v>
      </c>
      <c r="J228">
        <v>2026</v>
      </c>
      <c r="K228" s="248" t="s">
        <v>186</v>
      </c>
    </row>
    <row r="229" spans="1:11" x14ac:dyDescent="0.25">
      <c r="A229" s="115">
        <v>45709</v>
      </c>
      <c r="B229" s="248" t="s">
        <v>213</v>
      </c>
      <c r="C229" s="248" t="s">
        <v>214</v>
      </c>
      <c r="D229">
        <v>-74.349999999999994</v>
      </c>
      <c r="F229" t="s">
        <v>85</v>
      </c>
      <c r="G229">
        <v>74.349999999999994</v>
      </c>
      <c r="H229">
        <v>-74.349999999999994</v>
      </c>
      <c r="I229" t="s">
        <v>108</v>
      </c>
      <c r="J229">
        <v>2025</v>
      </c>
      <c r="K229" s="248" t="s">
        <v>201</v>
      </c>
    </row>
    <row r="230" spans="1:11" x14ac:dyDescent="0.25">
      <c r="A230" s="115">
        <v>46162</v>
      </c>
      <c r="B230" s="248" t="s">
        <v>186</v>
      </c>
      <c r="C230" s="248" t="s">
        <v>227</v>
      </c>
      <c r="D230">
        <v>-74.36</v>
      </c>
      <c r="F230" t="s">
        <v>85</v>
      </c>
      <c r="G230">
        <v>74.36</v>
      </c>
      <c r="H230">
        <v>-74.36</v>
      </c>
      <c r="I230" t="s">
        <v>111</v>
      </c>
      <c r="J230">
        <v>2026</v>
      </c>
      <c r="K230" s="248" t="s">
        <v>117</v>
      </c>
    </row>
    <row r="231" spans="1:11" x14ac:dyDescent="0.25">
      <c r="A231" s="115">
        <v>45672</v>
      </c>
      <c r="B231" s="248" t="s">
        <v>223</v>
      </c>
      <c r="C231" s="248" t="s">
        <v>224</v>
      </c>
      <c r="D231">
        <v>-75.989999999999995</v>
      </c>
      <c r="F231" t="s">
        <v>85</v>
      </c>
      <c r="G231">
        <v>75.989999999999995</v>
      </c>
      <c r="H231">
        <v>-75.989999999999995</v>
      </c>
      <c r="I231" t="s">
        <v>97</v>
      </c>
      <c r="J231">
        <v>2025</v>
      </c>
      <c r="K231" s="248" t="s">
        <v>201</v>
      </c>
    </row>
    <row r="232" spans="1:11" x14ac:dyDescent="0.25">
      <c r="A232" s="115">
        <v>46172</v>
      </c>
      <c r="B232" s="248" t="s">
        <v>200</v>
      </c>
      <c r="C232" s="248" t="s">
        <v>202</v>
      </c>
      <c r="D232">
        <v>-78.98</v>
      </c>
      <c r="F232" t="s">
        <v>85</v>
      </c>
      <c r="G232">
        <v>78.98</v>
      </c>
      <c r="H232">
        <v>-78.98</v>
      </c>
      <c r="I232" t="s">
        <v>111</v>
      </c>
      <c r="J232">
        <v>2026</v>
      </c>
      <c r="K232" s="248" t="s">
        <v>183</v>
      </c>
    </row>
    <row r="233" spans="1:11" x14ac:dyDescent="0.25">
      <c r="A233" s="115">
        <v>45741</v>
      </c>
      <c r="B233" s="248" t="s">
        <v>221</v>
      </c>
      <c r="C233" s="248" t="s">
        <v>222</v>
      </c>
      <c r="D233">
        <v>-79.069999999999993</v>
      </c>
      <c r="F233" t="s">
        <v>85</v>
      </c>
      <c r="G233">
        <v>79.069999999999993</v>
      </c>
      <c r="H233">
        <v>-79.069999999999993</v>
      </c>
      <c r="I233" t="s">
        <v>109</v>
      </c>
      <c r="J233">
        <v>2025</v>
      </c>
      <c r="K233" s="248" t="s">
        <v>186</v>
      </c>
    </row>
    <row r="234" spans="1:11" x14ac:dyDescent="0.25">
      <c r="A234" s="115">
        <v>46356</v>
      </c>
      <c r="B234" s="248" t="s">
        <v>205</v>
      </c>
      <c r="C234" s="248" t="s">
        <v>206</v>
      </c>
      <c r="D234">
        <v>-79.150000000000006</v>
      </c>
      <c r="F234" t="s">
        <v>85</v>
      </c>
      <c r="G234">
        <v>79.150000000000006</v>
      </c>
      <c r="H234">
        <v>-79.150000000000006</v>
      </c>
      <c r="I234" t="s">
        <v>80</v>
      </c>
      <c r="J234">
        <v>2026</v>
      </c>
      <c r="K234" s="248" t="s">
        <v>186</v>
      </c>
    </row>
    <row r="235" spans="1:11" x14ac:dyDescent="0.25">
      <c r="A235" s="115">
        <v>46353</v>
      </c>
      <c r="B235" s="248" t="s">
        <v>215</v>
      </c>
      <c r="C235" s="248" t="s">
        <v>216</v>
      </c>
      <c r="D235">
        <v>-80.88</v>
      </c>
      <c r="F235" t="s">
        <v>85</v>
      </c>
      <c r="G235">
        <v>80.88</v>
      </c>
      <c r="H235">
        <v>-80.88</v>
      </c>
      <c r="I235" t="s">
        <v>80</v>
      </c>
      <c r="J235">
        <v>2026</v>
      </c>
      <c r="K235" s="248" t="s">
        <v>117</v>
      </c>
    </row>
    <row r="236" spans="1:11" x14ac:dyDescent="0.25">
      <c r="A236" s="115">
        <v>46059</v>
      </c>
      <c r="B236" s="248" t="s">
        <v>107</v>
      </c>
      <c r="C236" s="248" t="s">
        <v>184</v>
      </c>
      <c r="D236">
        <v>-84.48</v>
      </c>
      <c r="F236" t="s">
        <v>85</v>
      </c>
      <c r="G236">
        <v>84.48</v>
      </c>
      <c r="H236">
        <v>-84.48</v>
      </c>
      <c r="I236" t="s">
        <v>108</v>
      </c>
      <c r="J236">
        <v>2026</v>
      </c>
      <c r="K236" s="248" t="s">
        <v>117</v>
      </c>
    </row>
    <row r="237" spans="1:11" x14ac:dyDescent="0.25">
      <c r="A237" s="115">
        <v>46320</v>
      </c>
      <c r="B237" s="248" t="s">
        <v>186</v>
      </c>
      <c r="C237" s="248" t="s">
        <v>227</v>
      </c>
      <c r="D237">
        <v>-87.52</v>
      </c>
      <c r="F237" t="s">
        <v>85</v>
      </c>
      <c r="G237">
        <v>87.52</v>
      </c>
      <c r="H237">
        <v>-87.52</v>
      </c>
      <c r="I237" t="s">
        <v>119</v>
      </c>
      <c r="J237">
        <v>2026</v>
      </c>
      <c r="K237" s="248" t="s">
        <v>183</v>
      </c>
    </row>
    <row r="238" spans="1:11" x14ac:dyDescent="0.25">
      <c r="A238" s="115">
        <v>46180</v>
      </c>
      <c r="B238" s="248" t="s">
        <v>203</v>
      </c>
      <c r="C238" s="248" t="s">
        <v>204</v>
      </c>
      <c r="D238">
        <v>-89.75</v>
      </c>
      <c r="F238" t="s">
        <v>85</v>
      </c>
      <c r="G238">
        <v>89.75</v>
      </c>
      <c r="H238">
        <v>-89.75</v>
      </c>
      <c r="I238" t="s">
        <v>112</v>
      </c>
      <c r="J238">
        <v>2026</v>
      </c>
      <c r="K238" s="248" t="s">
        <v>179</v>
      </c>
    </row>
    <row r="239" spans="1:11" x14ac:dyDescent="0.25">
      <c r="A239" s="115">
        <v>46276</v>
      </c>
      <c r="B239" s="248" t="s">
        <v>178</v>
      </c>
      <c r="C239" s="248" t="s">
        <v>180</v>
      </c>
      <c r="D239">
        <v>-90.98</v>
      </c>
      <c r="F239" t="s">
        <v>85</v>
      </c>
      <c r="G239">
        <v>90.98</v>
      </c>
      <c r="H239">
        <v>-90.98</v>
      </c>
      <c r="I239" t="s">
        <v>118</v>
      </c>
      <c r="J239">
        <v>2026</v>
      </c>
      <c r="K239" s="248" t="s">
        <v>186</v>
      </c>
    </row>
    <row r="240" spans="1:11" x14ac:dyDescent="0.25">
      <c r="A240" s="115">
        <v>45733</v>
      </c>
      <c r="B240" s="248" t="s">
        <v>221</v>
      </c>
      <c r="C240" s="248" t="s">
        <v>222</v>
      </c>
      <c r="D240">
        <v>-93.28</v>
      </c>
      <c r="F240" t="s">
        <v>85</v>
      </c>
      <c r="G240">
        <v>93.28</v>
      </c>
      <c r="H240">
        <v>-93.28</v>
      </c>
      <c r="I240" t="s">
        <v>109</v>
      </c>
      <c r="J240">
        <v>2025</v>
      </c>
      <c r="K240" s="248" t="s">
        <v>183</v>
      </c>
    </row>
    <row r="241" spans="1:11" x14ac:dyDescent="0.25">
      <c r="A241" s="115">
        <v>46073</v>
      </c>
      <c r="B241" s="248" t="s">
        <v>198</v>
      </c>
      <c r="C241" s="248" t="s">
        <v>199</v>
      </c>
      <c r="D241">
        <v>-93.95</v>
      </c>
      <c r="F241" t="s">
        <v>85</v>
      </c>
      <c r="G241">
        <v>93.95</v>
      </c>
      <c r="H241">
        <v>-93.95</v>
      </c>
      <c r="I241" t="s">
        <v>108</v>
      </c>
      <c r="J241">
        <v>2026</v>
      </c>
      <c r="K241" s="248" t="s">
        <v>117</v>
      </c>
    </row>
    <row r="242" spans="1:11" x14ac:dyDescent="0.25">
      <c r="A242" s="115">
        <v>45725</v>
      </c>
      <c r="B242" s="248" t="s">
        <v>213</v>
      </c>
      <c r="C242" s="248" t="s">
        <v>214</v>
      </c>
      <c r="D242">
        <v>-94.09</v>
      </c>
      <c r="F242" t="s">
        <v>85</v>
      </c>
      <c r="G242">
        <v>94.09</v>
      </c>
      <c r="H242">
        <v>-94.09</v>
      </c>
      <c r="I242" t="s">
        <v>109</v>
      </c>
      <c r="J242">
        <v>2025</v>
      </c>
      <c r="K242" s="248" t="s">
        <v>179</v>
      </c>
    </row>
    <row r="243" spans="1:11" x14ac:dyDescent="0.25">
      <c r="A243" s="115">
        <v>45954</v>
      </c>
      <c r="B243" s="248" t="s">
        <v>215</v>
      </c>
      <c r="C243" s="248" t="s">
        <v>216</v>
      </c>
      <c r="D243">
        <v>-94.18</v>
      </c>
      <c r="F243" t="s">
        <v>85</v>
      </c>
      <c r="G243">
        <v>94.18</v>
      </c>
      <c r="H243">
        <v>-94.18</v>
      </c>
      <c r="I243" t="s">
        <v>119</v>
      </c>
      <c r="J243">
        <v>2025</v>
      </c>
      <c r="K243" s="248" t="s">
        <v>186</v>
      </c>
    </row>
    <row r="244" spans="1:11" x14ac:dyDescent="0.25">
      <c r="A244" s="115">
        <v>45975</v>
      </c>
      <c r="B244" s="248" t="s">
        <v>117</v>
      </c>
      <c r="C244" s="248" t="s">
        <v>226</v>
      </c>
      <c r="D244">
        <v>-94.96</v>
      </c>
      <c r="F244" t="s">
        <v>85</v>
      </c>
      <c r="G244">
        <v>94.96</v>
      </c>
      <c r="H244">
        <v>-94.96</v>
      </c>
      <c r="I244" t="s">
        <v>80</v>
      </c>
      <c r="J244">
        <v>2025</v>
      </c>
      <c r="K244" s="248" t="s">
        <v>179</v>
      </c>
    </row>
    <row r="245" spans="1:11" x14ac:dyDescent="0.25">
      <c r="A245" s="115">
        <v>45837</v>
      </c>
      <c r="B245" s="248" t="s">
        <v>196</v>
      </c>
      <c r="C245" s="248" t="s">
        <v>197</v>
      </c>
      <c r="D245">
        <v>-95.43</v>
      </c>
      <c r="F245" t="s">
        <v>85</v>
      </c>
      <c r="G245">
        <v>95.43</v>
      </c>
      <c r="H245">
        <v>-95.43</v>
      </c>
      <c r="I245" t="s">
        <v>112</v>
      </c>
      <c r="J245">
        <v>2025</v>
      </c>
      <c r="K245" s="248" t="s">
        <v>117</v>
      </c>
    </row>
    <row r="246" spans="1:11" x14ac:dyDescent="0.25">
      <c r="A246" s="115">
        <v>46364</v>
      </c>
      <c r="B246" s="248" t="s">
        <v>200</v>
      </c>
      <c r="C246" s="248" t="s">
        <v>202</v>
      </c>
      <c r="D246">
        <v>-96.01</v>
      </c>
      <c r="F246" t="s">
        <v>85</v>
      </c>
      <c r="G246">
        <v>96.01</v>
      </c>
      <c r="H246">
        <v>-96.01</v>
      </c>
      <c r="I246" t="s">
        <v>79</v>
      </c>
      <c r="J246">
        <v>2026</v>
      </c>
      <c r="K246" s="248" t="s">
        <v>183</v>
      </c>
    </row>
    <row r="247" spans="1:11" x14ac:dyDescent="0.25">
      <c r="A247" s="115">
        <v>45879</v>
      </c>
      <c r="B247" s="248" t="s">
        <v>215</v>
      </c>
      <c r="C247" s="248" t="s">
        <v>216</v>
      </c>
      <c r="D247">
        <v>-99.01</v>
      </c>
      <c r="F247" t="s">
        <v>85</v>
      </c>
      <c r="G247">
        <v>99.01</v>
      </c>
      <c r="H247">
        <v>-99.01</v>
      </c>
      <c r="I247" t="s">
        <v>114</v>
      </c>
      <c r="J247">
        <v>2025</v>
      </c>
      <c r="K247" s="248" t="s">
        <v>186</v>
      </c>
    </row>
    <row r="248" spans="1:11" x14ac:dyDescent="0.25">
      <c r="A248" s="115">
        <v>45949</v>
      </c>
      <c r="B248" s="248" t="s">
        <v>219</v>
      </c>
      <c r="C248" s="248" t="s">
        <v>220</v>
      </c>
      <c r="D248">
        <v>-100.63</v>
      </c>
      <c r="F248" t="s">
        <v>85</v>
      </c>
      <c r="G248">
        <v>100.63</v>
      </c>
      <c r="H248">
        <v>-100.63</v>
      </c>
      <c r="I248" t="s">
        <v>119</v>
      </c>
      <c r="J248">
        <v>2025</v>
      </c>
      <c r="K248" s="248" t="s">
        <v>115</v>
      </c>
    </row>
    <row r="249" spans="1:11" x14ac:dyDescent="0.25">
      <c r="A249" s="115">
        <v>46383</v>
      </c>
      <c r="B249" s="248" t="s">
        <v>188</v>
      </c>
      <c r="C249" s="248" t="s">
        <v>189</v>
      </c>
      <c r="D249">
        <v>-103.35</v>
      </c>
      <c r="F249" t="s">
        <v>85</v>
      </c>
      <c r="G249">
        <v>103.35</v>
      </c>
      <c r="H249">
        <v>-103.35</v>
      </c>
      <c r="I249" t="s">
        <v>79</v>
      </c>
      <c r="J249">
        <v>2026</v>
      </c>
      <c r="K249" s="248" t="s">
        <v>115</v>
      </c>
    </row>
    <row r="250" spans="1:11" x14ac:dyDescent="0.25">
      <c r="A250" s="115">
        <v>46348</v>
      </c>
      <c r="B250" s="248" t="s">
        <v>219</v>
      </c>
      <c r="C250" s="248" t="s">
        <v>220</v>
      </c>
      <c r="D250">
        <v>-104.73</v>
      </c>
      <c r="F250" t="s">
        <v>85</v>
      </c>
      <c r="G250">
        <v>104.73</v>
      </c>
      <c r="H250">
        <v>-104.73</v>
      </c>
      <c r="I250" t="s">
        <v>80</v>
      </c>
      <c r="J250">
        <v>2026</v>
      </c>
      <c r="K250" s="248" t="s">
        <v>117</v>
      </c>
    </row>
    <row r="251" spans="1:11" x14ac:dyDescent="0.25">
      <c r="A251" s="115">
        <v>45792</v>
      </c>
      <c r="B251" s="248" t="s">
        <v>196</v>
      </c>
      <c r="C251" s="248" t="s">
        <v>197</v>
      </c>
      <c r="D251">
        <v>-104.8</v>
      </c>
      <c r="F251" t="s">
        <v>85</v>
      </c>
      <c r="G251">
        <v>104.8</v>
      </c>
      <c r="H251">
        <v>-104.8</v>
      </c>
      <c r="I251" t="s">
        <v>111</v>
      </c>
      <c r="J251">
        <v>2025</v>
      </c>
      <c r="K251" s="248" t="s">
        <v>183</v>
      </c>
    </row>
    <row r="252" spans="1:11" x14ac:dyDescent="0.25">
      <c r="A252" s="115">
        <v>46096</v>
      </c>
      <c r="B252" s="248" t="s">
        <v>215</v>
      </c>
      <c r="C252" s="248" t="s">
        <v>216</v>
      </c>
      <c r="D252">
        <v>-104.98</v>
      </c>
      <c r="F252" t="s">
        <v>85</v>
      </c>
      <c r="G252">
        <v>104.98</v>
      </c>
      <c r="H252">
        <v>-104.98</v>
      </c>
      <c r="I252" t="s">
        <v>109</v>
      </c>
      <c r="J252">
        <v>2026</v>
      </c>
      <c r="K252" s="248" t="s">
        <v>115</v>
      </c>
    </row>
    <row r="253" spans="1:11" x14ac:dyDescent="0.25">
      <c r="A253" s="115">
        <v>45664</v>
      </c>
      <c r="B253" s="248" t="s">
        <v>185</v>
      </c>
      <c r="C253" s="248" t="s">
        <v>187</v>
      </c>
      <c r="D253">
        <v>-105.57</v>
      </c>
      <c r="F253" t="s">
        <v>85</v>
      </c>
      <c r="G253">
        <v>105.57</v>
      </c>
      <c r="H253">
        <v>-105.57</v>
      </c>
      <c r="I253" t="s">
        <v>97</v>
      </c>
      <c r="J253">
        <v>2025</v>
      </c>
      <c r="K253" s="248" t="s">
        <v>201</v>
      </c>
    </row>
    <row r="254" spans="1:11" x14ac:dyDescent="0.25">
      <c r="A254" s="115">
        <v>45957</v>
      </c>
      <c r="B254" s="248" t="s">
        <v>211</v>
      </c>
      <c r="C254" s="248" t="s">
        <v>212</v>
      </c>
      <c r="D254">
        <v>-106.03</v>
      </c>
      <c r="F254" t="s">
        <v>85</v>
      </c>
      <c r="G254">
        <v>106.03</v>
      </c>
      <c r="H254">
        <v>-106.03</v>
      </c>
      <c r="I254" t="s">
        <v>119</v>
      </c>
      <c r="J254">
        <v>2025</v>
      </c>
      <c r="K254" s="248" t="s">
        <v>183</v>
      </c>
    </row>
    <row r="255" spans="1:11" x14ac:dyDescent="0.25">
      <c r="A255" s="115">
        <v>45757</v>
      </c>
      <c r="B255" s="248" t="s">
        <v>107</v>
      </c>
      <c r="C255" s="248" t="s">
        <v>184</v>
      </c>
      <c r="D255">
        <v>-106.43</v>
      </c>
      <c r="F255" t="s">
        <v>85</v>
      </c>
      <c r="G255">
        <v>106.43</v>
      </c>
      <c r="H255">
        <v>-106.43</v>
      </c>
      <c r="I255" t="s">
        <v>110</v>
      </c>
      <c r="J255">
        <v>2025</v>
      </c>
      <c r="K255" s="248" t="s">
        <v>106</v>
      </c>
    </row>
    <row r="256" spans="1:11" x14ac:dyDescent="0.25">
      <c r="A256" s="115">
        <v>46101</v>
      </c>
      <c r="B256" s="248" t="s">
        <v>107</v>
      </c>
      <c r="C256" s="248" t="s">
        <v>184</v>
      </c>
      <c r="D256">
        <v>-106.58</v>
      </c>
      <c r="F256" t="s">
        <v>85</v>
      </c>
      <c r="G256">
        <v>106.58</v>
      </c>
      <c r="H256">
        <v>-106.58</v>
      </c>
      <c r="I256" t="s">
        <v>109</v>
      </c>
      <c r="J256">
        <v>2026</v>
      </c>
      <c r="K256" s="248" t="s">
        <v>179</v>
      </c>
    </row>
    <row r="257" spans="1:11" x14ac:dyDescent="0.25">
      <c r="A257" s="115">
        <v>46178</v>
      </c>
      <c r="B257" s="248" t="s">
        <v>186</v>
      </c>
      <c r="C257" s="248" t="s">
        <v>227</v>
      </c>
      <c r="D257">
        <v>-107.15</v>
      </c>
      <c r="F257" t="s">
        <v>85</v>
      </c>
      <c r="G257">
        <v>107.15</v>
      </c>
      <c r="H257">
        <v>-107.15</v>
      </c>
      <c r="I257" t="s">
        <v>112</v>
      </c>
      <c r="J257">
        <v>2026</v>
      </c>
      <c r="K257" s="248" t="s">
        <v>183</v>
      </c>
    </row>
    <row r="258" spans="1:11" x14ac:dyDescent="0.25">
      <c r="A258" s="115">
        <v>45698</v>
      </c>
      <c r="B258" s="248" t="s">
        <v>188</v>
      </c>
      <c r="C258" s="248" t="s">
        <v>189</v>
      </c>
      <c r="D258">
        <v>-107.38</v>
      </c>
      <c r="F258" t="s">
        <v>85</v>
      </c>
      <c r="G258">
        <v>107.38</v>
      </c>
      <c r="H258">
        <v>-107.38</v>
      </c>
      <c r="I258" t="s">
        <v>108</v>
      </c>
      <c r="J258">
        <v>2025</v>
      </c>
      <c r="K258" s="248" t="s">
        <v>117</v>
      </c>
    </row>
    <row r="259" spans="1:11" x14ac:dyDescent="0.25">
      <c r="A259" s="115">
        <v>45770</v>
      </c>
      <c r="B259" s="248" t="s">
        <v>185</v>
      </c>
      <c r="C259" s="248" t="s">
        <v>187</v>
      </c>
      <c r="D259">
        <v>-108.14</v>
      </c>
      <c r="F259" t="s">
        <v>85</v>
      </c>
      <c r="G259">
        <v>108.14</v>
      </c>
      <c r="H259">
        <v>-108.14</v>
      </c>
      <c r="I259" t="s">
        <v>110</v>
      </c>
      <c r="J259">
        <v>2025</v>
      </c>
      <c r="K259" s="248" t="s">
        <v>201</v>
      </c>
    </row>
    <row r="260" spans="1:11" x14ac:dyDescent="0.25">
      <c r="A260" s="115">
        <v>46188</v>
      </c>
      <c r="B260" s="248" t="s">
        <v>219</v>
      </c>
      <c r="C260" s="248" t="s">
        <v>220</v>
      </c>
      <c r="D260">
        <v>-108.25</v>
      </c>
      <c r="F260" t="s">
        <v>85</v>
      </c>
      <c r="G260">
        <v>108.25</v>
      </c>
      <c r="H260">
        <v>-108.25</v>
      </c>
      <c r="I260" t="s">
        <v>112</v>
      </c>
      <c r="J260">
        <v>2026</v>
      </c>
      <c r="K260" s="248" t="s">
        <v>117</v>
      </c>
    </row>
    <row r="261" spans="1:11" x14ac:dyDescent="0.25">
      <c r="A261" s="115">
        <v>45726</v>
      </c>
      <c r="B261" s="248" t="s">
        <v>178</v>
      </c>
      <c r="C261" s="248" t="s">
        <v>180</v>
      </c>
      <c r="D261">
        <v>-108.7</v>
      </c>
      <c r="F261" t="s">
        <v>85</v>
      </c>
      <c r="G261">
        <v>108.7</v>
      </c>
      <c r="H261">
        <v>-108.7</v>
      </c>
      <c r="I261" t="s">
        <v>109</v>
      </c>
      <c r="J261">
        <v>2025</v>
      </c>
      <c r="K261" s="248" t="s">
        <v>179</v>
      </c>
    </row>
    <row r="262" spans="1:11" x14ac:dyDescent="0.25">
      <c r="A262" s="115">
        <v>46377</v>
      </c>
      <c r="B262" s="248" t="s">
        <v>178</v>
      </c>
      <c r="C262" s="248" t="s">
        <v>180</v>
      </c>
      <c r="D262">
        <v>-109.51</v>
      </c>
      <c r="F262" t="s">
        <v>85</v>
      </c>
      <c r="G262">
        <v>109.51</v>
      </c>
      <c r="H262">
        <v>-109.51</v>
      </c>
      <c r="I262" t="s">
        <v>79</v>
      </c>
      <c r="J262">
        <v>2026</v>
      </c>
      <c r="K262" s="248" t="s">
        <v>117</v>
      </c>
    </row>
    <row r="263" spans="1:11" x14ac:dyDescent="0.25">
      <c r="A263" s="115">
        <v>46058</v>
      </c>
      <c r="B263" s="248" t="s">
        <v>178</v>
      </c>
      <c r="C263" s="248" t="s">
        <v>180</v>
      </c>
      <c r="D263">
        <v>-112.1</v>
      </c>
      <c r="F263" t="s">
        <v>85</v>
      </c>
      <c r="G263">
        <v>112.1</v>
      </c>
      <c r="H263">
        <v>-112.1</v>
      </c>
      <c r="I263" t="s">
        <v>108</v>
      </c>
      <c r="J263">
        <v>2026</v>
      </c>
      <c r="K263" s="248" t="s">
        <v>186</v>
      </c>
    </row>
    <row r="264" spans="1:11" x14ac:dyDescent="0.25">
      <c r="A264" s="115">
        <v>46169</v>
      </c>
      <c r="B264" s="248" t="s">
        <v>203</v>
      </c>
      <c r="C264" s="248" t="s">
        <v>204</v>
      </c>
      <c r="D264">
        <v>-113.12</v>
      </c>
      <c r="F264" t="s">
        <v>85</v>
      </c>
      <c r="G264">
        <v>113.12</v>
      </c>
      <c r="H264">
        <v>-113.12</v>
      </c>
      <c r="I264" t="s">
        <v>111</v>
      </c>
      <c r="J264">
        <v>2026</v>
      </c>
      <c r="K264" s="248" t="s">
        <v>179</v>
      </c>
    </row>
    <row r="265" spans="1:11" x14ac:dyDescent="0.25">
      <c r="A265" s="115">
        <v>46218</v>
      </c>
      <c r="B265" s="248" t="s">
        <v>211</v>
      </c>
      <c r="C265" s="248" t="s">
        <v>212</v>
      </c>
      <c r="D265">
        <v>-113.81</v>
      </c>
      <c r="F265" t="s">
        <v>85</v>
      </c>
      <c r="G265">
        <v>113.81</v>
      </c>
      <c r="H265">
        <v>-113.81</v>
      </c>
      <c r="I265" t="s">
        <v>113</v>
      </c>
      <c r="J265">
        <v>2026</v>
      </c>
      <c r="K265" s="248" t="s">
        <v>117</v>
      </c>
    </row>
    <row r="266" spans="1:11" x14ac:dyDescent="0.25">
      <c r="A266" s="115">
        <v>46227</v>
      </c>
      <c r="B266" s="248" t="s">
        <v>186</v>
      </c>
      <c r="C266" s="248" t="s">
        <v>227</v>
      </c>
      <c r="D266">
        <v>-115.24</v>
      </c>
      <c r="F266" t="s">
        <v>85</v>
      </c>
      <c r="G266">
        <v>115.24</v>
      </c>
      <c r="H266">
        <v>-115.24</v>
      </c>
      <c r="I266" t="s">
        <v>113</v>
      </c>
      <c r="J266">
        <v>2026</v>
      </c>
      <c r="K266" s="248" t="s">
        <v>179</v>
      </c>
    </row>
    <row r="267" spans="1:11" x14ac:dyDescent="0.25">
      <c r="A267" s="115">
        <v>46195</v>
      </c>
      <c r="B267" s="248" t="s">
        <v>209</v>
      </c>
      <c r="C267" s="248" t="s">
        <v>210</v>
      </c>
      <c r="D267">
        <v>-115.9</v>
      </c>
      <c r="F267" t="s">
        <v>85</v>
      </c>
      <c r="G267">
        <v>115.9</v>
      </c>
      <c r="H267">
        <v>-115.9</v>
      </c>
      <c r="I267" t="s">
        <v>112</v>
      </c>
      <c r="J267">
        <v>2026</v>
      </c>
      <c r="K267" s="248" t="s">
        <v>201</v>
      </c>
    </row>
    <row r="268" spans="1:11" x14ac:dyDescent="0.25">
      <c r="A268" s="115">
        <v>46239</v>
      </c>
      <c r="B268" s="248" t="s">
        <v>185</v>
      </c>
      <c r="C268" s="248" t="s">
        <v>187</v>
      </c>
      <c r="D268">
        <v>-116.26</v>
      </c>
      <c r="F268" t="s">
        <v>85</v>
      </c>
      <c r="G268">
        <v>116.26</v>
      </c>
      <c r="H268">
        <v>-116.26</v>
      </c>
      <c r="I268" t="s">
        <v>114</v>
      </c>
      <c r="J268">
        <v>2026</v>
      </c>
      <c r="K268" s="248" t="s">
        <v>201</v>
      </c>
    </row>
    <row r="269" spans="1:11" x14ac:dyDescent="0.25">
      <c r="A269" s="115">
        <v>45669</v>
      </c>
      <c r="B269" s="248" t="s">
        <v>196</v>
      </c>
      <c r="C269" s="248" t="s">
        <v>197</v>
      </c>
      <c r="D269">
        <v>-117.61</v>
      </c>
      <c r="F269" t="s">
        <v>85</v>
      </c>
      <c r="G269">
        <v>117.61</v>
      </c>
      <c r="H269">
        <v>-117.61</v>
      </c>
      <c r="I269" t="s">
        <v>97</v>
      </c>
      <c r="J269">
        <v>2025</v>
      </c>
      <c r="K269" s="248" t="s">
        <v>186</v>
      </c>
    </row>
    <row r="270" spans="1:11" x14ac:dyDescent="0.25">
      <c r="A270" s="115">
        <v>45772</v>
      </c>
      <c r="B270" s="248" t="s">
        <v>192</v>
      </c>
      <c r="C270" s="248" t="s">
        <v>193</v>
      </c>
      <c r="D270">
        <v>-118.81</v>
      </c>
      <c r="F270" t="s">
        <v>85</v>
      </c>
      <c r="G270">
        <v>118.81</v>
      </c>
      <c r="H270">
        <v>-118.81</v>
      </c>
      <c r="I270" t="s">
        <v>110</v>
      </c>
      <c r="J270">
        <v>2025</v>
      </c>
      <c r="K270" s="248" t="s">
        <v>179</v>
      </c>
    </row>
    <row r="271" spans="1:11" x14ac:dyDescent="0.25">
      <c r="A271" s="115">
        <v>46261</v>
      </c>
      <c r="B271" s="248" t="s">
        <v>209</v>
      </c>
      <c r="C271" s="248" t="s">
        <v>210</v>
      </c>
      <c r="D271">
        <v>-119.72</v>
      </c>
      <c r="F271" t="s">
        <v>85</v>
      </c>
      <c r="G271">
        <v>119.72</v>
      </c>
      <c r="H271">
        <v>-119.72</v>
      </c>
      <c r="I271" t="s">
        <v>114</v>
      </c>
      <c r="J271">
        <v>2026</v>
      </c>
      <c r="K271" s="248" t="s">
        <v>186</v>
      </c>
    </row>
    <row r="272" spans="1:11" x14ac:dyDescent="0.25">
      <c r="A272" s="115">
        <v>46303</v>
      </c>
      <c r="B272" s="248" t="s">
        <v>219</v>
      </c>
      <c r="C272" s="248" t="s">
        <v>220</v>
      </c>
      <c r="D272">
        <v>-123.37</v>
      </c>
      <c r="F272" t="s">
        <v>85</v>
      </c>
      <c r="G272">
        <v>123.37</v>
      </c>
      <c r="H272">
        <v>-123.37</v>
      </c>
      <c r="I272" t="s">
        <v>119</v>
      </c>
      <c r="J272">
        <v>2026</v>
      </c>
      <c r="K272" s="248" t="s">
        <v>179</v>
      </c>
    </row>
    <row r="273" spans="1:11" x14ac:dyDescent="0.25">
      <c r="A273" s="115">
        <v>46226</v>
      </c>
      <c r="B273" s="248" t="s">
        <v>217</v>
      </c>
      <c r="C273" s="248" t="s">
        <v>218</v>
      </c>
      <c r="D273">
        <v>-123.54</v>
      </c>
      <c r="F273" t="s">
        <v>85</v>
      </c>
      <c r="G273">
        <v>123.54</v>
      </c>
      <c r="H273">
        <v>-123.54</v>
      </c>
      <c r="I273" t="s">
        <v>113</v>
      </c>
      <c r="J273">
        <v>2026</v>
      </c>
      <c r="K273" s="248" t="s">
        <v>186</v>
      </c>
    </row>
    <row r="274" spans="1:11" x14ac:dyDescent="0.25">
      <c r="A274" s="115">
        <v>46300</v>
      </c>
      <c r="B274" s="248" t="s">
        <v>203</v>
      </c>
      <c r="C274" s="248" t="s">
        <v>204</v>
      </c>
      <c r="D274">
        <v>-124.98</v>
      </c>
      <c r="F274" t="s">
        <v>85</v>
      </c>
      <c r="G274">
        <v>124.98</v>
      </c>
      <c r="H274">
        <v>-124.98</v>
      </c>
      <c r="I274" t="s">
        <v>119</v>
      </c>
      <c r="J274">
        <v>2026</v>
      </c>
      <c r="K274" s="248" t="s">
        <v>201</v>
      </c>
    </row>
    <row r="275" spans="1:11" x14ac:dyDescent="0.25">
      <c r="A275" s="115">
        <v>45957</v>
      </c>
      <c r="B275" s="248" t="s">
        <v>107</v>
      </c>
      <c r="C275" s="248" t="s">
        <v>184</v>
      </c>
      <c r="D275">
        <v>-126.21</v>
      </c>
      <c r="F275" t="s">
        <v>85</v>
      </c>
      <c r="G275">
        <v>126.21</v>
      </c>
      <c r="H275">
        <v>-126.21</v>
      </c>
      <c r="I275" t="s">
        <v>119</v>
      </c>
      <c r="J275">
        <v>2025</v>
      </c>
      <c r="K275" s="248" t="s">
        <v>179</v>
      </c>
    </row>
    <row r="276" spans="1:11" x14ac:dyDescent="0.25">
      <c r="A276" s="115">
        <v>46190</v>
      </c>
      <c r="B276" s="248" t="s">
        <v>219</v>
      </c>
      <c r="C276" s="248" t="s">
        <v>220</v>
      </c>
      <c r="D276">
        <v>-127.26</v>
      </c>
      <c r="F276" t="s">
        <v>85</v>
      </c>
      <c r="G276">
        <v>127.26</v>
      </c>
      <c r="H276">
        <v>-127.26</v>
      </c>
      <c r="I276" t="s">
        <v>112</v>
      </c>
      <c r="J276">
        <v>2026</v>
      </c>
      <c r="K276" s="248" t="s">
        <v>115</v>
      </c>
    </row>
    <row r="277" spans="1:11" x14ac:dyDescent="0.25">
      <c r="A277" s="115">
        <v>45725</v>
      </c>
      <c r="B277" s="248" t="s">
        <v>207</v>
      </c>
      <c r="C277" s="248" t="s">
        <v>208</v>
      </c>
      <c r="D277">
        <v>-130.41</v>
      </c>
      <c r="F277" t="s">
        <v>85</v>
      </c>
      <c r="G277">
        <v>130.41</v>
      </c>
      <c r="H277">
        <v>-130.41</v>
      </c>
      <c r="I277" t="s">
        <v>109</v>
      </c>
      <c r="J277">
        <v>2025</v>
      </c>
      <c r="K277" s="248" t="s">
        <v>183</v>
      </c>
    </row>
    <row r="278" spans="1:11" x14ac:dyDescent="0.25">
      <c r="A278" s="115">
        <v>46048</v>
      </c>
      <c r="B278" s="248" t="s">
        <v>117</v>
      </c>
      <c r="C278" s="248" t="s">
        <v>226</v>
      </c>
      <c r="D278">
        <v>-131.1</v>
      </c>
      <c r="F278" t="s">
        <v>85</v>
      </c>
      <c r="G278">
        <v>131.1</v>
      </c>
      <c r="H278">
        <v>-131.1</v>
      </c>
      <c r="I278" t="s">
        <v>97</v>
      </c>
      <c r="J278">
        <v>2026</v>
      </c>
      <c r="K278" s="248" t="s">
        <v>117</v>
      </c>
    </row>
    <row r="279" spans="1:11" x14ac:dyDescent="0.25">
      <c r="A279" s="115">
        <v>46272</v>
      </c>
      <c r="B279" s="248" t="s">
        <v>211</v>
      </c>
      <c r="C279" s="248" t="s">
        <v>212</v>
      </c>
      <c r="D279">
        <v>-132.38</v>
      </c>
      <c r="F279" t="s">
        <v>85</v>
      </c>
      <c r="G279">
        <v>132.38</v>
      </c>
      <c r="H279">
        <v>-132.38</v>
      </c>
      <c r="I279" t="s">
        <v>118</v>
      </c>
      <c r="J279">
        <v>2026</v>
      </c>
      <c r="K279" s="248" t="s">
        <v>115</v>
      </c>
    </row>
    <row r="280" spans="1:11" x14ac:dyDescent="0.25">
      <c r="A280" s="115">
        <v>46127</v>
      </c>
      <c r="B280" s="248" t="s">
        <v>200</v>
      </c>
      <c r="C280" s="248" t="s">
        <v>202</v>
      </c>
      <c r="D280">
        <v>-132.87</v>
      </c>
      <c r="F280" t="s">
        <v>85</v>
      </c>
      <c r="G280">
        <v>132.87</v>
      </c>
      <c r="H280">
        <v>-132.87</v>
      </c>
      <c r="I280" t="s">
        <v>110</v>
      </c>
      <c r="J280">
        <v>2026</v>
      </c>
      <c r="K280" s="248" t="s">
        <v>186</v>
      </c>
    </row>
    <row r="281" spans="1:11" x14ac:dyDescent="0.25">
      <c r="A281" s="115">
        <v>46062</v>
      </c>
      <c r="B281" s="248" t="s">
        <v>207</v>
      </c>
      <c r="C281" s="248" t="s">
        <v>208</v>
      </c>
      <c r="D281">
        <v>-132.97</v>
      </c>
      <c r="F281" t="s">
        <v>85</v>
      </c>
      <c r="G281">
        <v>132.97</v>
      </c>
      <c r="H281">
        <v>-132.97</v>
      </c>
      <c r="I281" t="s">
        <v>108</v>
      </c>
      <c r="J281">
        <v>2026</v>
      </c>
      <c r="K281" s="248" t="s">
        <v>201</v>
      </c>
    </row>
    <row r="282" spans="1:11" x14ac:dyDescent="0.25">
      <c r="A282" s="115">
        <v>46092</v>
      </c>
      <c r="B282" s="248" t="s">
        <v>211</v>
      </c>
      <c r="C282" s="248" t="s">
        <v>212</v>
      </c>
      <c r="D282">
        <v>-133.11000000000001</v>
      </c>
      <c r="F282" t="s">
        <v>85</v>
      </c>
      <c r="G282">
        <v>133.11000000000001</v>
      </c>
      <c r="H282">
        <v>-133.11000000000001</v>
      </c>
      <c r="I282" t="s">
        <v>109</v>
      </c>
      <c r="J282">
        <v>2026</v>
      </c>
      <c r="K282" s="248" t="s">
        <v>183</v>
      </c>
    </row>
    <row r="283" spans="1:11" x14ac:dyDescent="0.25">
      <c r="A283" s="115">
        <v>45736</v>
      </c>
      <c r="B283" s="248" t="s">
        <v>209</v>
      </c>
      <c r="C283" s="248" t="s">
        <v>210</v>
      </c>
      <c r="D283">
        <v>-135.33000000000001</v>
      </c>
      <c r="F283" t="s">
        <v>85</v>
      </c>
      <c r="G283">
        <v>135.33000000000001</v>
      </c>
      <c r="H283">
        <v>-135.33000000000001</v>
      </c>
      <c r="I283" t="s">
        <v>109</v>
      </c>
      <c r="J283">
        <v>2025</v>
      </c>
      <c r="K283" s="248" t="s">
        <v>179</v>
      </c>
    </row>
    <row r="284" spans="1:11" x14ac:dyDescent="0.25">
      <c r="A284" s="115">
        <v>46213</v>
      </c>
      <c r="B284" s="248" t="s">
        <v>219</v>
      </c>
      <c r="C284" s="248" t="s">
        <v>220</v>
      </c>
      <c r="D284">
        <v>-136.06</v>
      </c>
      <c r="F284" t="s">
        <v>85</v>
      </c>
      <c r="G284">
        <v>136.06</v>
      </c>
      <c r="H284">
        <v>-136.06</v>
      </c>
      <c r="I284" t="s">
        <v>113</v>
      </c>
      <c r="J284">
        <v>2026</v>
      </c>
      <c r="K284" s="248" t="s">
        <v>179</v>
      </c>
    </row>
    <row r="285" spans="1:11" x14ac:dyDescent="0.25">
      <c r="A285" s="115">
        <v>46289</v>
      </c>
      <c r="B285" s="248" t="s">
        <v>209</v>
      </c>
      <c r="C285" s="248" t="s">
        <v>210</v>
      </c>
      <c r="D285">
        <v>-139.16999999999999</v>
      </c>
      <c r="F285" t="s">
        <v>85</v>
      </c>
      <c r="G285">
        <v>139.16999999999999</v>
      </c>
      <c r="H285">
        <v>-139.16999999999999</v>
      </c>
      <c r="I285" t="s">
        <v>118</v>
      </c>
      <c r="J285">
        <v>2026</v>
      </c>
      <c r="K285" s="248" t="s">
        <v>183</v>
      </c>
    </row>
    <row r="286" spans="1:11" x14ac:dyDescent="0.25">
      <c r="A286" s="115">
        <v>45738</v>
      </c>
      <c r="B286" s="248" t="s">
        <v>107</v>
      </c>
      <c r="C286" s="248" t="s">
        <v>184</v>
      </c>
      <c r="D286">
        <v>-140.46</v>
      </c>
      <c r="F286" t="s">
        <v>85</v>
      </c>
      <c r="G286">
        <v>140.46</v>
      </c>
      <c r="H286">
        <v>-140.46</v>
      </c>
      <c r="I286" t="s">
        <v>109</v>
      </c>
      <c r="J286">
        <v>2025</v>
      </c>
      <c r="K286" s="248" t="s">
        <v>117</v>
      </c>
    </row>
    <row r="287" spans="1:11" x14ac:dyDescent="0.25">
      <c r="A287" s="115">
        <v>45791</v>
      </c>
      <c r="B287" s="248" t="s">
        <v>198</v>
      </c>
      <c r="C287" s="248" t="s">
        <v>199</v>
      </c>
      <c r="D287">
        <v>-140.53</v>
      </c>
      <c r="F287" t="s">
        <v>85</v>
      </c>
      <c r="G287">
        <v>140.53</v>
      </c>
      <c r="H287">
        <v>-140.53</v>
      </c>
      <c r="I287" t="s">
        <v>111</v>
      </c>
      <c r="J287">
        <v>2025</v>
      </c>
      <c r="K287" s="248" t="s">
        <v>117</v>
      </c>
    </row>
    <row r="288" spans="1:11" x14ac:dyDescent="0.25">
      <c r="A288" s="115">
        <v>46221</v>
      </c>
      <c r="B288" s="248" t="s">
        <v>185</v>
      </c>
      <c r="C288" s="248" t="s">
        <v>187</v>
      </c>
      <c r="D288">
        <v>-142.88999999999999</v>
      </c>
      <c r="F288" t="s">
        <v>85</v>
      </c>
      <c r="G288">
        <v>142.88999999999999</v>
      </c>
      <c r="H288">
        <v>-142.88999999999999</v>
      </c>
      <c r="I288" t="s">
        <v>113</v>
      </c>
      <c r="J288">
        <v>2026</v>
      </c>
      <c r="K288" s="248" t="s">
        <v>117</v>
      </c>
    </row>
    <row r="289" spans="1:11" x14ac:dyDescent="0.25">
      <c r="A289" s="115">
        <v>45958</v>
      </c>
      <c r="B289" s="248" t="s">
        <v>213</v>
      </c>
      <c r="C289" s="248" t="s">
        <v>214</v>
      </c>
      <c r="D289">
        <v>-143.26</v>
      </c>
      <c r="F289" t="s">
        <v>85</v>
      </c>
      <c r="G289">
        <v>143.26</v>
      </c>
      <c r="H289">
        <v>-143.26</v>
      </c>
      <c r="I289" t="s">
        <v>119</v>
      </c>
      <c r="J289">
        <v>2025</v>
      </c>
      <c r="K289" s="248" t="s">
        <v>179</v>
      </c>
    </row>
    <row r="290" spans="1:11" x14ac:dyDescent="0.25">
      <c r="A290" s="115">
        <v>46361</v>
      </c>
      <c r="B290" s="248" t="s">
        <v>186</v>
      </c>
      <c r="C290" s="248" t="s">
        <v>227</v>
      </c>
      <c r="D290">
        <v>-143.91999999999999</v>
      </c>
      <c r="F290" t="s">
        <v>85</v>
      </c>
      <c r="G290">
        <v>143.91999999999999</v>
      </c>
      <c r="H290">
        <v>-143.91999999999999</v>
      </c>
      <c r="I290" t="s">
        <v>79</v>
      </c>
      <c r="J290">
        <v>2026</v>
      </c>
      <c r="K290" s="248" t="s">
        <v>117</v>
      </c>
    </row>
    <row r="291" spans="1:11" x14ac:dyDescent="0.25">
      <c r="A291" s="115">
        <v>45903</v>
      </c>
      <c r="B291" s="248" t="s">
        <v>198</v>
      </c>
      <c r="C291" s="248" t="s">
        <v>199</v>
      </c>
      <c r="D291">
        <v>-144.5</v>
      </c>
      <c r="F291" t="s">
        <v>85</v>
      </c>
      <c r="G291">
        <v>144.5</v>
      </c>
      <c r="H291">
        <v>-144.5</v>
      </c>
      <c r="I291" t="s">
        <v>118</v>
      </c>
      <c r="J291">
        <v>2025</v>
      </c>
      <c r="K291" s="248" t="s">
        <v>106</v>
      </c>
    </row>
    <row r="292" spans="1:11" x14ac:dyDescent="0.25">
      <c r="A292" s="115">
        <v>46103</v>
      </c>
      <c r="B292" s="248" t="s">
        <v>181</v>
      </c>
      <c r="C292" s="248" t="s">
        <v>182</v>
      </c>
      <c r="D292">
        <v>-144.53</v>
      </c>
      <c r="F292" t="s">
        <v>85</v>
      </c>
      <c r="G292">
        <v>144.53</v>
      </c>
      <c r="H292">
        <v>-144.53</v>
      </c>
      <c r="I292" t="s">
        <v>109</v>
      </c>
      <c r="J292">
        <v>2026</v>
      </c>
      <c r="K292" s="248" t="s">
        <v>179</v>
      </c>
    </row>
    <row r="293" spans="1:11" x14ac:dyDescent="0.25">
      <c r="A293" s="115">
        <v>46279</v>
      </c>
      <c r="B293" s="248" t="s">
        <v>203</v>
      </c>
      <c r="C293" s="248" t="s">
        <v>204</v>
      </c>
      <c r="D293">
        <v>-144.54</v>
      </c>
      <c r="F293" t="s">
        <v>85</v>
      </c>
      <c r="G293">
        <v>144.54</v>
      </c>
      <c r="H293">
        <v>-144.54</v>
      </c>
      <c r="I293" t="s">
        <v>118</v>
      </c>
      <c r="J293">
        <v>2026</v>
      </c>
      <c r="K293" s="248" t="s">
        <v>106</v>
      </c>
    </row>
    <row r="294" spans="1:11" x14ac:dyDescent="0.25">
      <c r="A294" s="115">
        <v>45916</v>
      </c>
      <c r="B294" s="248" t="s">
        <v>188</v>
      </c>
      <c r="C294" s="248" t="s">
        <v>189</v>
      </c>
      <c r="D294">
        <v>-148.88999999999999</v>
      </c>
      <c r="F294" t="s">
        <v>85</v>
      </c>
      <c r="G294">
        <v>148.88999999999999</v>
      </c>
      <c r="H294">
        <v>-148.88999999999999</v>
      </c>
      <c r="I294" t="s">
        <v>118</v>
      </c>
      <c r="J294">
        <v>2025</v>
      </c>
      <c r="K294" s="248" t="s">
        <v>201</v>
      </c>
    </row>
    <row r="295" spans="1:11" x14ac:dyDescent="0.25">
      <c r="A295" s="115">
        <v>46352</v>
      </c>
      <c r="B295" s="248" t="s">
        <v>185</v>
      </c>
      <c r="C295" s="248" t="s">
        <v>187</v>
      </c>
      <c r="D295">
        <v>-149.75</v>
      </c>
      <c r="F295" t="s">
        <v>85</v>
      </c>
      <c r="G295">
        <v>149.75</v>
      </c>
      <c r="H295">
        <v>-149.75</v>
      </c>
      <c r="I295" t="s">
        <v>80</v>
      </c>
      <c r="J295">
        <v>2026</v>
      </c>
      <c r="K295" s="248" t="s">
        <v>183</v>
      </c>
    </row>
    <row r="296" spans="1:11" x14ac:dyDescent="0.25">
      <c r="A296" s="115">
        <v>46379</v>
      </c>
      <c r="B296" s="248" t="s">
        <v>221</v>
      </c>
      <c r="C296" s="248" t="s">
        <v>222</v>
      </c>
      <c r="D296">
        <v>-150.38</v>
      </c>
      <c r="F296" t="s">
        <v>85</v>
      </c>
      <c r="G296">
        <v>150.38</v>
      </c>
      <c r="H296">
        <v>-150.38</v>
      </c>
      <c r="I296" t="s">
        <v>79</v>
      </c>
      <c r="J296">
        <v>2026</v>
      </c>
      <c r="K296" s="248" t="s">
        <v>183</v>
      </c>
    </row>
    <row r="297" spans="1:11" x14ac:dyDescent="0.25">
      <c r="A297" s="115">
        <v>46105</v>
      </c>
      <c r="B297" s="248" t="s">
        <v>117</v>
      </c>
      <c r="C297" s="248" t="s">
        <v>226</v>
      </c>
      <c r="D297">
        <v>-154.13999999999999</v>
      </c>
      <c r="F297" t="s">
        <v>85</v>
      </c>
      <c r="G297">
        <v>154.13999999999999</v>
      </c>
      <c r="H297">
        <v>-154.13999999999999</v>
      </c>
      <c r="I297" t="s">
        <v>109</v>
      </c>
      <c r="J297">
        <v>2026</v>
      </c>
      <c r="K297" s="248" t="s">
        <v>106</v>
      </c>
    </row>
    <row r="298" spans="1:11" x14ac:dyDescent="0.25">
      <c r="A298" s="115">
        <v>46386</v>
      </c>
      <c r="B298" s="248" t="s">
        <v>198</v>
      </c>
      <c r="C298" s="248" t="s">
        <v>199</v>
      </c>
      <c r="D298">
        <v>-154.44999999999999</v>
      </c>
      <c r="F298" t="s">
        <v>85</v>
      </c>
      <c r="G298">
        <v>154.44999999999999</v>
      </c>
      <c r="H298">
        <v>-154.44999999999999</v>
      </c>
      <c r="I298" t="s">
        <v>79</v>
      </c>
      <c r="J298">
        <v>2026</v>
      </c>
      <c r="K298" s="248" t="s">
        <v>179</v>
      </c>
    </row>
    <row r="299" spans="1:11" x14ac:dyDescent="0.25">
      <c r="A299" s="115">
        <v>45967</v>
      </c>
      <c r="B299" s="248" t="s">
        <v>185</v>
      </c>
      <c r="C299" s="248" t="s">
        <v>187</v>
      </c>
      <c r="D299">
        <v>-155.94999999999999</v>
      </c>
      <c r="F299" t="s">
        <v>85</v>
      </c>
      <c r="G299">
        <v>155.94999999999999</v>
      </c>
      <c r="H299">
        <v>-155.94999999999999</v>
      </c>
      <c r="I299" t="s">
        <v>80</v>
      </c>
      <c r="J299">
        <v>2025</v>
      </c>
      <c r="K299" s="248" t="s">
        <v>117</v>
      </c>
    </row>
    <row r="300" spans="1:11" x14ac:dyDescent="0.25">
      <c r="A300" s="115">
        <v>45895</v>
      </c>
      <c r="B300" s="248" t="s">
        <v>215</v>
      </c>
      <c r="C300" s="248" t="s">
        <v>216</v>
      </c>
      <c r="D300">
        <v>-158.13</v>
      </c>
      <c r="F300" t="s">
        <v>85</v>
      </c>
      <c r="G300">
        <v>158.13</v>
      </c>
      <c r="H300">
        <v>-158.13</v>
      </c>
      <c r="I300" t="s">
        <v>114</v>
      </c>
      <c r="J300">
        <v>2025</v>
      </c>
      <c r="K300" s="248" t="s">
        <v>117</v>
      </c>
    </row>
    <row r="301" spans="1:11" x14ac:dyDescent="0.25">
      <c r="A301" s="115">
        <v>46174</v>
      </c>
      <c r="B301" s="248" t="s">
        <v>186</v>
      </c>
      <c r="C301" s="248" t="s">
        <v>227</v>
      </c>
      <c r="D301">
        <v>-158.61000000000001</v>
      </c>
      <c r="F301" t="s">
        <v>85</v>
      </c>
      <c r="G301">
        <v>158.61000000000001</v>
      </c>
      <c r="H301">
        <v>-158.61000000000001</v>
      </c>
      <c r="I301" t="s">
        <v>112</v>
      </c>
      <c r="J301">
        <v>2026</v>
      </c>
      <c r="K301" s="248" t="s">
        <v>186</v>
      </c>
    </row>
    <row r="302" spans="1:11" x14ac:dyDescent="0.25">
      <c r="A302" s="115">
        <v>45948</v>
      </c>
      <c r="B302" s="248" t="s">
        <v>215</v>
      </c>
      <c r="C302" s="248" t="s">
        <v>216</v>
      </c>
      <c r="D302">
        <v>-159.81</v>
      </c>
      <c r="F302" t="s">
        <v>85</v>
      </c>
      <c r="G302">
        <v>159.81</v>
      </c>
      <c r="H302">
        <v>-159.81</v>
      </c>
      <c r="I302" t="s">
        <v>119</v>
      </c>
      <c r="J302">
        <v>2025</v>
      </c>
      <c r="K302" s="248" t="s">
        <v>115</v>
      </c>
    </row>
    <row r="303" spans="1:11" x14ac:dyDescent="0.25">
      <c r="A303" s="115">
        <v>45795</v>
      </c>
      <c r="B303" s="248" t="s">
        <v>117</v>
      </c>
      <c r="C303" s="248" t="s">
        <v>226</v>
      </c>
      <c r="D303">
        <v>-161.13</v>
      </c>
      <c r="F303" t="s">
        <v>85</v>
      </c>
      <c r="G303">
        <v>161.13</v>
      </c>
      <c r="H303">
        <v>-161.13</v>
      </c>
      <c r="I303" t="s">
        <v>111</v>
      </c>
      <c r="J303">
        <v>2025</v>
      </c>
      <c r="K303" s="248" t="s">
        <v>179</v>
      </c>
    </row>
    <row r="304" spans="1:11" x14ac:dyDescent="0.25">
      <c r="A304" s="115">
        <v>45937</v>
      </c>
      <c r="B304" s="248" t="s">
        <v>178</v>
      </c>
      <c r="C304" s="248" t="s">
        <v>180</v>
      </c>
      <c r="D304">
        <v>-162.02000000000001</v>
      </c>
      <c r="F304" t="s">
        <v>85</v>
      </c>
      <c r="G304">
        <v>162.02000000000001</v>
      </c>
      <c r="H304">
        <v>-162.02000000000001</v>
      </c>
      <c r="I304" t="s">
        <v>119</v>
      </c>
      <c r="J304">
        <v>2025</v>
      </c>
      <c r="K304" s="248" t="s">
        <v>179</v>
      </c>
    </row>
    <row r="305" spans="1:11" x14ac:dyDescent="0.25">
      <c r="A305" s="115">
        <v>46257</v>
      </c>
      <c r="B305" s="248" t="s">
        <v>188</v>
      </c>
      <c r="C305" s="248" t="s">
        <v>189</v>
      </c>
      <c r="D305">
        <v>-167.07</v>
      </c>
      <c r="F305" t="s">
        <v>85</v>
      </c>
      <c r="G305">
        <v>167.07</v>
      </c>
      <c r="H305">
        <v>-167.07</v>
      </c>
      <c r="I305" t="s">
        <v>114</v>
      </c>
      <c r="J305">
        <v>2026</v>
      </c>
      <c r="K305" s="248" t="s">
        <v>117</v>
      </c>
    </row>
    <row r="306" spans="1:11" x14ac:dyDescent="0.25">
      <c r="A306" s="115">
        <v>46333</v>
      </c>
      <c r="B306" s="248" t="s">
        <v>192</v>
      </c>
      <c r="C306" s="248" t="s">
        <v>193</v>
      </c>
      <c r="D306">
        <v>-167.74</v>
      </c>
      <c r="F306" t="s">
        <v>85</v>
      </c>
      <c r="G306">
        <v>167.74</v>
      </c>
      <c r="H306">
        <v>-167.74</v>
      </c>
      <c r="I306" t="s">
        <v>80</v>
      </c>
      <c r="J306">
        <v>2026</v>
      </c>
      <c r="K306" s="248" t="s">
        <v>117</v>
      </c>
    </row>
    <row r="307" spans="1:11" x14ac:dyDescent="0.25">
      <c r="A307" s="115">
        <v>45981</v>
      </c>
      <c r="B307" s="248" t="s">
        <v>107</v>
      </c>
      <c r="C307" s="248" t="s">
        <v>184</v>
      </c>
      <c r="D307">
        <v>-170.08</v>
      </c>
      <c r="F307" t="s">
        <v>85</v>
      </c>
      <c r="G307">
        <v>170.08</v>
      </c>
      <c r="H307">
        <v>-170.08</v>
      </c>
      <c r="I307" t="s">
        <v>80</v>
      </c>
      <c r="J307">
        <v>2025</v>
      </c>
      <c r="K307" s="248" t="s">
        <v>201</v>
      </c>
    </row>
    <row r="308" spans="1:11" x14ac:dyDescent="0.25">
      <c r="A308" s="115">
        <v>45892</v>
      </c>
      <c r="B308" s="248" t="s">
        <v>186</v>
      </c>
      <c r="C308" s="248" t="s">
        <v>227</v>
      </c>
      <c r="D308">
        <v>-171.93</v>
      </c>
      <c r="F308" t="s">
        <v>85</v>
      </c>
      <c r="G308">
        <v>171.93</v>
      </c>
      <c r="H308">
        <v>-171.93</v>
      </c>
      <c r="I308" t="s">
        <v>114</v>
      </c>
      <c r="J308">
        <v>2025</v>
      </c>
      <c r="K308" s="248" t="s">
        <v>201</v>
      </c>
    </row>
    <row r="309" spans="1:11" x14ac:dyDescent="0.25">
      <c r="A309" s="115">
        <v>46303</v>
      </c>
      <c r="B309" s="248" t="s">
        <v>221</v>
      </c>
      <c r="C309" s="248" t="s">
        <v>222</v>
      </c>
      <c r="D309">
        <v>-172.78</v>
      </c>
      <c r="F309" t="s">
        <v>85</v>
      </c>
      <c r="G309">
        <v>172.78</v>
      </c>
      <c r="H309">
        <v>-172.78</v>
      </c>
      <c r="I309" t="s">
        <v>119</v>
      </c>
      <c r="J309">
        <v>2026</v>
      </c>
      <c r="K309" s="248" t="s">
        <v>106</v>
      </c>
    </row>
    <row r="310" spans="1:11" x14ac:dyDescent="0.25">
      <c r="A310" s="115">
        <v>45839</v>
      </c>
      <c r="B310" s="248" t="s">
        <v>192</v>
      </c>
      <c r="C310" s="248" t="s">
        <v>193</v>
      </c>
      <c r="D310">
        <v>-173.14</v>
      </c>
      <c r="F310" t="s">
        <v>85</v>
      </c>
      <c r="G310">
        <v>173.14</v>
      </c>
      <c r="H310">
        <v>-173.14</v>
      </c>
      <c r="I310" t="s">
        <v>113</v>
      </c>
      <c r="J310">
        <v>2025</v>
      </c>
      <c r="K310" s="248" t="s">
        <v>183</v>
      </c>
    </row>
    <row r="311" spans="1:11" x14ac:dyDescent="0.25">
      <c r="A311" s="115">
        <v>45837</v>
      </c>
      <c r="B311" s="248" t="s">
        <v>186</v>
      </c>
      <c r="C311" s="248" t="s">
        <v>227</v>
      </c>
      <c r="D311">
        <v>-177.68</v>
      </c>
      <c r="F311" t="s">
        <v>85</v>
      </c>
      <c r="G311">
        <v>177.68</v>
      </c>
      <c r="H311">
        <v>-177.68</v>
      </c>
      <c r="I311" t="s">
        <v>112</v>
      </c>
      <c r="J311">
        <v>2025</v>
      </c>
      <c r="K311" s="248" t="s">
        <v>183</v>
      </c>
    </row>
    <row r="312" spans="1:11" x14ac:dyDescent="0.25">
      <c r="A312" s="115">
        <v>45956</v>
      </c>
      <c r="B312" s="248" t="s">
        <v>198</v>
      </c>
      <c r="C312" s="248" t="s">
        <v>199</v>
      </c>
      <c r="D312">
        <v>-180.42</v>
      </c>
      <c r="F312" t="s">
        <v>85</v>
      </c>
      <c r="G312">
        <v>180.42</v>
      </c>
      <c r="H312">
        <v>-180.42</v>
      </c>
      <c r="I312" t="s">
        <v>119</v>
      </c>
      <c r="J312">
        <v>2025</v>
      </c>
      <c r="K312" s="248" t="s">
        <v>201</v>
      </c>
    </row>
    <row r="313" spans="1:11" x14ac:dyDescent="0.25">
      <c r="A313" s="115">
        <v>45762</v>
      </c>
      <c r="B313" s="248" t="s">
        <v>185</v>
      </c>
      <c r="C313" s="248" t="s">
        <v>187</v>
      </c>
      <c r="D313">
        <v>-180.78</v>
      </c>
      <c r="F313" t="s">
        <v>85</v>
      </c>
      <c r="G313">
        <v>180.78</v>
      </c>
      <c r="H313">
        <v>-180.78</v>
      </c>
      <c r="I313" t="s">
        <v>110</v>
      </c>
      <c r="J313">
        <v>2025</v>
      </c>
      <c r="K313" s="248" t="s">
        <v>117</v>
      </c>
    </row>
    <row r="314" spans="1:11" x14ac:dyDescent="0.25">
      <c r="A314" s="115">
        <v>45982</v>
      </c>
      <c r="B314" s="248" t="s">
        <v>221</v>
      </c>
      <c r="C314" s="248" t="s">
        <v>222</v>
      </c>
      <c r="D314">
        <v>-182.6</v>
      </c>
      <c r="F314" t="s">
        <v>85</v>
      </c>
      <c r="G314">
        <v>182.6</v>
      </c>
      <c r="H314">
        <v>-182.6</v>
      </c>
      <c r="I314" t="s">
        <v>80</v>
      </c>
      <c r="J314">
        <v>2025</v>
      </c>
      <c r="K314" s="248" t="s">
        <v>117</v>
      </c>
    </row>
    <row r="315" spans="1:11" x14ac:dyDescent="0.25">
      <c r="A315" s="115">
        <v>46312</v>
      </c>
      <c r="B315" s="248" t="s">
        <v>223</v>
      </c>
      <c r="C315" s="248" t="s">
        <v>224</v>
      </c>
      <c r="D315">
        <v>-183.04</v>
      </c>
      <c r="F315" t="s">
        <v>85</v>
      </c>
      <c r="G315">
        <v>183.04</v>
      </c>
      <c r="H315">
        <v>-183.04</v>
      </c>
      <c r="I315" t="s">
        <v>119</v>
      </c>
      <c r="J315">
        <v>2026</v>
      </c>
      <c r="K315" s="248" t="s">
        <v>183</v>
      </c>
    </row>
    <row r="316" spans="1:11" x14ac:dyDescent="0.25">
      <c r="A316" s="115">
        <v>45675</v>
      </c>
      <c r="B316" s="248" t="s">
        <v>196</v>
      </c>
      <c r="C316" s="248" t="s">
        <v>197</v>
      </c>
      <c r="D316">
        <v>-183.58</v>
      </c>
      <c r="F316" t="s">
        <v>85</v>
      </c>
      <c r="G316">
        <v>183.58</v>
      </c>
      <c r="H316">
        <v>-183.58</v>
      </c>
      <c r="I316" t="s">
        <v>97</v>
      </c>
      <c r="J316">
        <v>2025</v>
      </c>
      <c r="K316" s="248" t="s">
        <v>201</v>
      </c>
    </row>
    <row r="317" spans="1:11" x14ac:dyDescent="0.25">
      <c r="A317" s="115">
        <v>45912</v>
      </c>
      <c r="B317" s="248" t="s">
        <v>117</v>
      </c>
      <c r="C317" s="248" t="s">
        <v>226</v>
      </c>
      <c r="D317">
        <v>-184.21</v>
      </c>
      <c r="F317" t="s">
        <v>85</v>
      </c>
      <c r="G317">
        <v>184.21</v>
      </c>
      <c r="H317">
        <v>-184.21</v>
      </c>
      <c r="I317" t="s">
        <v>118</v>
      </c>
      <c r="J317">
        <v>2025</v>
      </c>
      <c r="K317" s="248" t="s">
        <v>179</v>
      </c>
    </row>
    <row r="318" spans="1:11" x14ac:dyDescent="0.25">
      <c r="A318" s="115">
        <v>45943</v>
      </c>
      <c r="B318" s="248" t="s">
        <v>107</v>
      </c>
      <c r="C318" s="248" t="s">
        <v>184</v>
      </c>
      <c r="D318">
        <v>-186.34</v>
      </c>
      <c r="F318" t="s">
        <v>85</v>
      </c>
      <c r="G318">
        <v>186.34</v>
      </c>
      <c r="H318">
        <v>-186.34</v>
      </c>
      <c r="I318" t="s">
        <v>119</v>
      </c>
      <c r="J318">
        <v>2025</v>
      </c>
      <c r="K318" s="248" t="s">
        <v>115</v>
      </c>
    </row>
    <row r="319" spans="1:11" x14ac:dyDescent="0.25">
      <c r="A319" s="115">
        <v>45668</v>
      </c>
      <c r="B319" s="248" t="s">
        <v>223</v>
      </c>
      <c r="C319" s="248" t="s">
        <v>224</v>
      </c>
      <c r="D319">
        <v>-186.98</v>
      </c>
      <c r="F319" t="s">
        <v>85</v>
      </c>
      <c r="G319">
        <v>186.98</v>
      </c>
      <c r="H319">
        <v>-186.98</v>
      </c>
      <c r="I319" t="s">
        <v>97</v>
      </c>
      <c r="J319">
        <v>2025</v>
      </c>
      <c r="K319" s="248" t="s">
        <v>115</v>
      </c>
    </row>
    <row r="320" spans="1:11" x14ac:dyDescent="0.25">
      <c r="A320" s="115">
        <v>45884</v>
      </c>
      <c r="B320" s="248" t="s">
        <v>190</v>
      </c>
      <c r="C320" s="248" t="s">
        <v>191</v>
      </c>
      <c r="D320">
        <v>-189.64</v>
      </c>
      <c r="F320" t="s">
        <v>85</v>
      </c>
      <c r="G320">
        <v>189.64</v>
      </c>
      <c r="H320">
        <v>-189.64</v>
      </c>
      <c r="I320" t="s">
        <v>114</v>
      </c>
      <c r="J320">
        <v>2025</v>
      </c>
      <c r="K320" s="248" t="s">
        <v>186</v>
      </c>
    </row>
    <row r="321" spans="1:11" x14ac:dyDescent="0.25">
      <c r="A321" s="115">
        <v>46029</v>
      </c>
      <c r="B321" s="248" t="s">
        <v>196</v>
      </c>
      <c r="C321" s="248" t="s">
        <v>197</v>
      </c>
      <c r="D321">
        <v>-190.47</v>
      </c>
      <c r="F321" t="s">
        <v>85</v>
      </c>
      <c r="G321">
        <v>190.47</v>
      </c>
      <c r="H321">
        <v>-190.47</v>
      </c>
      <c r="I321" t="s">
        <v>97</v>
      </c>
      <c r="J321">
        <v>2026</v>
      </c>
      <c r="K321" s="248" t="s">
        <v>186</v>
      </c>
    </row>
    <row r="322" spans="1:11" x14ac:dyDescent="0.25">
      <c r="A322" s="115">
        <v>45664</v>
      </c>
      <c r="B322" s="248" t="s">
        <v>219</v>
      </c>
      <c r="C322" s="248" t="s">
        <v>220</v>
      </c>
      <c r="D322">
        <v>-190.82</v>
      </c>
      <c r="F322" t="s">
        <v>85</v>
      </c>
      <c r="G322">
        <v>190.82</v>
      </c>
      <c r="H322">
        <v>-190.82</v>
      </c>
      <c r="I322" t="s">
        <v>97</v>
      </c>
      <c r="J322">
        <v>2025</v>
      </c>
      <c r="K322" s="248" t="s">
        <v>179</v>
      </c>
    </row>
    <row r="323" spans="1:11" x14ac:dyDescent="0.25">
      <c r="A323" s="115">
        <v>46179</v>
      </c>
      <c r="B323" s="248" t="s">
        <v>209</v>
      </c>
      <c r="C323" s="248" t="s">
        <v>210</v>
      </c>
      <c r="D323">
        <v>-193.77</v>
      </c>
      <c r="F323" t="s">
        <v>85</v>
      </c>
      <c r="G323">
        <v>193.77</v>
      </c>
      <c r="H323">
        <v>-193.77</v>
      </c>
      <c r="I323" t="s">
        <v>112</v>
      </c>
      <c r="J323">
        <v>2026</v>
      </c>
      <c r="K323" s="248" t="s">
        <v>201</v>
      </c>
    </row>
    <row r="324" spans="1:11" x14ac:dyDescent="0.25">
      <c r="A324" s="115">
        <v>45720</v>
      </c>
      <c r="B324" s="248" t="s">
        <v>198</v>
      </c>
      <c r="C324" s="248" t="s">
        <v>199</v>
      </c>
      <c r="D324">
        <v>-194.61</v>
      </c>
      <c r="F324" t="s">
        <v>85</v>
      </c>
      <c r="G324">
        <v>194.61</v>
      </c>
      <c r="H324">
        <v>-194.61</v>
      </c>
      <c r="I324" t="s">
        <v>109</v>
      </c>
      <c r="J324">
        <v>2025</v>
      </c>
      <c r="K324" s="248" t="s">
        <v>115</v>
      </c>
    </row>
    <row r="325" spans="1:11" x14ac:dyDescent="0.25">
      <c r="A325" s="115">
        <v>46231</v>
      </c>
      <c r="B325" s="248" t="s">
        <v>181</v>
      </c>
      <c r="C325" s="248" t="s">
        <v>182</v>
      </c>
      <c r="D325">
        <v>-195.54</v>
      </c>
      <c r="F325" t="s">
        <v>85</v>
      </c>
      <c r="G325">
        <v>195.54</v>
      </c>
      <c r="H325">
        <v>-195.54</v>
      </c>
      <c r="I325" t="s">
        <v>113</v>
      </c>
      <c r="J325">
        <v>2026</v>
      </c>
      <c r="K325" s="248" t="s">
        <v>117</v>
      </c>
    </row>
    <row r="326" spans="1:11" x14ac:dyDescent="0.25">
      <c r="A326" s="115">
        <v>45668</v>
      </c>
      <c r="B326" s="248" t="s">
        <v>198</v>
      </c>
      <c r="C326" s="248" t="s">
        <v>199</v>
      </c>
      <c r="D326">
        <v>-195.85</v>
      </c>
      <c r="F326" t="s">
        <v>85</v>
      </c>
      <c r="G326">
        <v>195.85</v>
      </c>
      <c r="H326">
        <v>-195.85</v>
      </c>
      <c r="I326" t="s">
        <v>97</v>
      </c>
      <c r="J326">
        <v>2025</v>
      </c>
      <c r="K326" s="248" t="s">
        <v>179</v>
      </c>
    </row>
    <row r="327" spans="1:11" x14ac:dyDescent="0.25">
      <c r="A327" s="115">
        <v>46218</v>
      </c>
      <c r="B327" s="248" t="s">
        <v>192</v>
      </c>
      <c r="C327" s="248" t="s">
        <v>193</v>
      </c>
      <c r="D327">
        <v>-197.86</v>
      </c>
      <c r="F327" t="s">
        <v>85</v>
      </c>
      <c r="G327">
        <v>197.86</v>
      </c>
      <c r="H327">
        <v>-197.86</v>
      </c>
      <c r="I327" t="s">
        <v>113</v>
      </c>
      <c r="J327">
        <v>2026</v>
      </c>
      <c r="K327" s="248" t="s">
        <v>183</v>
      </c>
    </row>
    <row r="328" spans="1:11" x14ac:dyDescent="0.25">
      <c r="A328" s="115">
        <v>46113</v>
      </c>
      <c r="B328" s="248" t="s">
        <v>219</v>
      </c>
      <c r="C328" s="248" t="s">
        <v>220</v>
      </c>
      <c r="D328">
        <v>-198.03</v>
      </c>
      <c r="F328" t="s">
        <v>85</v>
      </c>
      <c r="G328">
        <v>198.03</v>
      </c>
      <c r="H328">
        <v>-198.03</v>
      </c>
      <c r="I328" t="s">
        <v>110</v>
      </c>
      <c r="J328">
        <v>2026</v>
      </c>
      <c r="K328" s="248" t="s">
        <v>179</v>
      </c>
    </row>
    <row r="329" spans="1:11" x14ac:dyDescent="0.25">
      <c r="A329" s="115">
        <v>46164</v>
      </c>
      <c r="B329" s="248" t="s">
        <v>198</v>
      </c>
      <c r="C329" s="248" t="s">
        <v>199</v>
      </c>
      <c r="D329">
        <v>-198.21</v>
      </c>
      <c r="F329" t="s">
        <v>85</v>
      </c>
      <c r="G329">
        <v>198.21</v>
      </c>
      <c r="H329">
        <v>-198.21</v>
      </c>
      <c r="I329" t="s">
        <v>111</v>
      </c>
      <c r="J329">
        <v>2026</v>
      </c>
      <c r="K329" s="248" t="s">
        <v>201</v>
      </c>
    </row>
    <row r="330" spans="1:11" x14ac:dyDescent="0.25">
      <c r="A330" s="115"/>
      <c r="B330" s="248"/>
      <c r="C330" s="248"/>
      <c r="K330" s="248"/>
    </row>
    <row r="331" spans="1:11" x14ac:dyDescent="0.25">
      <c r="A331" s="115"/>
      <c r="B331" s="248"/>
      <c r="C331" s="248"/>
      <c r="K331" s="248"/>
    </row>
    <row r="332" spans="1:11" x14ac:dyDescent="0.25">
      <c r="A332" s="115"/>
      <c r="B332" s="248"/>
      <c r="C332" s="248"/>
      <c r="K332" s="248"/>
    </row>
    <row r="333" spans="1:11" x14ac:dyDescent="0.25">
      <c r="A333" s="115"/>
      <c r="B333" s="248"/>
      <c r="C333" s="248"/>
      <c r="K333" s="248"/>
    </row>
    <row r="334" spans="1:11" x14ac:dyDescent="0.25">
      <c r="A334" s="115"/>
      <c r="B334" s="248"/>
      <c r="C334" s="248"/>
      <c r="K334" s="248"/>
    </row>
    <row r="335" spans="1:11" x14ac:dyDescent="0.25">
      <c r="A335" s="115"/>
      <c r="B335" s="248"/>
      <c r="C335" s="248"/>
      <c r="K335" s="248"/>
    </row>
    <row r="336" spans="1:11" x14ac:dyDescent="0.25">
      <c r="A336" s="115"/>
      <c r="B336" s="248"/>
      <c r="C336" s="248"/>
      <c r="K336" s="248"/>
    </row>
    <row r="337" spans="1:11" x14ac:dyDescent="0.25">
      <c r="A337" s="115"/>
      <c r="B337" s="248"/>
      <c r="C337" s="248"/>
      <c r="K337" s="248"/>
    </row>
    <row r="338" spans="1:11" x14ac:dyDescent="0.25">
      <c r="A338" s="115"/>
      <c r="B338" s="248"/>
      <c r="C338" s="248"/>
      <c r="K338" s="248"/>
    </row>
    <row r="339" spans="1:11" x14ac:dyDescent="0.25">
      <c r="A339" s="115"/>
      <c r="B339" s="248"/>
      <c r="C339" s="248"/>
      <c r="K339" s="248"/>
    </row>
    <row r="340" spans="1:11" x14ac:dyDescent="0.25">
      <c r="A340" s="115"/>
      <c r="B340" s="248"/>
      <c r="C340" s="248"/>
      <c r="K340" s="248"/>
    </row>
    <row r="341" spans="1:11" x14ac:dyDescent="0.25">
      <c r="A341" s="115"/>
      <c r="B341" s="248"/>
      <c r="C341" s="248"/>
      <c r="K341" s="248"/>
    </row>
    <row r="342" spans="1:11" x14ac:dyDescent="0.25">
      <c r="A342" s="115"/>
      <c r="B342" s="248"/>
      <c r="C342" s="248"/>
      <c r="K342" s="248"/>
    </row>
    <row r="343" spans="1:11" x14ac:dyDescent="0.25">
      <c r="A343" s="115"/>
      <c r="B343" s="248"/>
      <c r="C343" s="248"/>
      <c r="K343" s="248"/>
    </row>
    <row r="344" spans="1:11" x14ac:dyDescent="0.25">
      <c r="A344" s="115"/>
      <c r="B344" s="248"/>
      <c r="C344" s="248"/>
      <c r="K344" s="248"/>
    </row>
    <row r="345" spans="1:11" x14ac:dyDescent="0.25">
      <c r="A345" s="115"/>
      <c r="B345" s="248"/>
      <c r="C345" s="248"/>
      <c r="K345" s="248"/>
    </row>
    <row r="346" spans="1:11" x14ac:dyDescent="0.25">
      <c r="A346" s="115"/>
      <c r="B346" s="248"/>
      <c r="C346" s="248"/>
      <c r="K346" s="248"/>
    </row>
    <row r="347" spans="1:11" x14ac:dyDescent="0.25">
      <c r="A347" s="115"/>
      <c r="B347" s="248"/>
      <c r="C347" s="248"/>
      <c r="K347" s="248"/>
    </row>
    <row r="348" spans="1:11" x14ac:dyDescent="0.25">
      <c r="A348" s="115"/>
      <c r="B348" s="248"/>
      <c r="C348" s="248"/>
      <c r="K348" s="248"/>
    </row>
    <row r="349" spans="1:11" x14ac:dyDescent="0.25">
      <c r="A349" s="115"/>
      <c r="B349" s="248"/>
      <c r="C349" s="248"/>
      <c r="K349" s="248"/>
    </row>
    <row r="350" spans="1:11" x14ac:dyDescent="0.25">
      <c r="A350" s="115"/>
      <c r="B350" s="248"/>
      <c r="C350" s="248"/>
      <c r="K350" s="248"/>
    </row>
    <row r="351" spans="1:11" x14ac:dyDescent="0.25">
      <c r="A351" s="115"/>
      <c r="B351" s="248"/>
      <c r="C351" s="248"/>
      <c r="K351" s="248"/>
    </row>
    <row r="352" spans="1:11" x14ac:dyDescent="0.25">
      <c r="A352" s="115"/>
      <c r="B352" s="248"/>
      <c r="C352" s="248"/>
      <c r="K352" s="248"/>
    </row>
    <row r="353" spans="1:11" x14ac:dyDescent="0.25">
      <c r="A353" s="115"/>
      <c r="B353" s="248"/>
      <c r="C353" s="248"/>
      <c r="K353" s="248"/>
    </row>
    <row r="354" spans="1:11" x14ac:dyDescent="0.25">
      <c r="A354" s="115"/>
      <c r="B354" s="248"/>
      <c r="C354" s="248"/>
      <c r="K354" s="248"/>
    </row>
    <row r="355" spans="1:11" x14ac:dyDescent="0.25">
      <c r="A355" s="115"/>
      <c r="B355" s="248"/>
      <c r="C355" s="248"/>
      <c r="K355" s="248"/>
    </row>
    <row r="356" spans="1:11" x14ac:dyDescent="0.25">
      <c r="A356" s="115"/>
      <c r="B356" s="248"/>
      <c r="C356" s="248"/>
      <c r="K356" s="248"/>
    </row>
    <row r="357" spans="1:11" x14ac:dyDescent="0.25">
      <c r="A357" s="115"/>
      <c r="B357" s="248"/>
      <c r="C357" s="248"/>
      <c r="K357" s="248"/>
    </row>
    <row r="358" spans="1:11" x14ac:dyDescent="0.25">
      <c r="A358" s="115"/>
      <c r="B358" s="248"/>
      <c r="C358" s="248"/>
      <c r="K358" s="248"/>
    </row>
    <row r="359" spans="1:11" x14ac:dyDescent="0.25">
      <c r="A359" s="115"/>
      <c r="B359" s="248"/>
      <c r="C359" s="248"/>
      <c r="K359" s="248"/>
    </row>
    <row r="360" spans="1:11" x14ac:dyDescent="0.25">
      <c r="A360" s="115"/>
      <c r="B360" s="248"/>
      <c r="C360" s="248"/>
      <c r="K360" s="248"/>
    </row>
    <row r="361" spans="1:11" x14ac:dyDescent="0.25">
      <c r="A361" s="115"/>
      <c r="B361" s="248"/>
      <c r="C361" s="248"/>
      <c r="K361" s="248"/>
    </row>
    <row r="362" spans="1:11" x14ac:dyDescent="0.25">
      <c r="A362" s="115"/>
      <c r="B362" s="248"/>
      <c r="C362" s="248"/>
      <c r="K362" s="248"/>
    </row>
    <row r="363" spans="1:11" x14ac:dyDescent="0.25">
      <c r="A363" s="115"/>
      <c r="B363" s="248"/>
      <c r="C363" s="248"/>
      <c r="K363" s="248"/>
    </row>
    <row r="364" spans="1:11" x14ac:dyDescent="0.25">
      <c r="A364" s="115"/>
      <c r="B364" s="248"/>
      <c r="C364" s="248"/>
      <c r="K364" s="248"/>
    </row>
    <row r="365" spans="1:11" x14ac:dyDescent="0.25">
      <c r="A365" s="115"/>
      <c r="B365" s="248"/>
      <c r="C365" s="248"/>
      <c r="K365" s="248"/>
    </row>
    <row r="366" spans="1:11" x14ac:dyDescent="0.25">
      <c r="A366" s="115"/>
      <c r="B366" s="248"/>
      <c r="C366" s="248"/>
      <c r="K366" s="248"/>
    </row>
    <row r="367" spans="1:11" x14ac:dyDescent="0.25">
      <c r="A367" s="115"/>
      <c r="B367" s="248"/>
      <c r="C367" s="248"/>
      <c r="K367" s="248"/>
    </row>
    <row r="368" spans="1:11" x14ac:dyDescent="0.25">
      <c r="A368" s="115"/>
      <c r="B368" s="248"/>
      <c r="C368" s="248"/>
      <c r="K368" s="248"/>
    </row>
    <row r="369" spans="1:11" x14ac:dyDescent="0.25">
      <c r="A369" s="115"/>
      <c r="B369" s="248"/>
      <c r="C369" s="248"/>
      <c r="K369" s="248"/>
    </row>
    <row r="370" spans="1:11" x14ac:dyDescent="0.25">
      <c r="A370" s="115"/>
      <c r="B370" s="248"/>
      <c r="C370" s="248"/>
      <c r="K370" s="248"/>
    </row>
    <row r="371" spans="1:11" x14ac:dyDescent="0.25">
      <c r="A371" s="115"/>
      <c r="B371" s="248"/>
      <c r="C371" s="248"/>
      <c r="K371" s="248"/>
    </row>
    <row r="372" spans="1:11" x14ac:dyDescent="0.25">
      <c r="A372" s="115"/>
      <c r="B372" s="248"/>
      <c r="C372" s="248"/>
      <c r="K372" s="248"/>
    </row>
    <row r="373" spans="1:11" x14ac:dyDescent="0.25">
      <c r="A373" s="115"/>
      <c r="B373" s="248"/>
      <c r="C373" s="248"/>
      <c r="K373" s="248"/>
    </row>
    <row r="374" spans="1:11" x14ac:dyDescent="0.25">
      <c r="A374" s="115"/>
      <c r="B374" s="248"/>
      <c r="C374" s="248"/>
      <c r="K374" s="248"/>
    </row>
    <row r="375" spans="1:11" x14ac:dyDescent="0.25">
      <c r="A375" s="115"/>
      <c r="B375" s="248"/>
      <c r="C375" s="248"/>
      <c r="K375" s="248"/>
    </row>
    <row r="376" spans="1:11" x14ac:dyDescent="0.25">
      <c r="A376" s="115"/>
      <c r="B376" s="248"/>
      <c r="C376" s="248"/>
      <c r="K376" s="248"/>
    </row>
    <row r="377" spans="1:11" x14ac:dyDescent="0.25">
      <c r="A377" s="115"/>
      <c r="B377" s="248"/>
      <c r="C377" s="248"/>
      <c r="K377" s="248"/>
    </row>
    <row r="378" spans="1:11" x14ac:dyDescent="0.25">
      <c r="A378" s="115"/>
      <c r="B378" s="248"/>
      <c r="C378" s="248"/>
      <c r="K378" s="248"/>
    </row>
    <row r="379" spans="1:11" x14ac:dyDescent="0.25">
      <c r="A379" s="115"/>
      <c r="B379" s="248"/>
      <c r="C379" s="248"/>
      <c r="K379" s="248"/>
    </row>
    <row r="380" spans="1:11" x14ac:dyDescent="0.25">
      <c r="A380" s="115"/>
      <c r="B380" s="248"/>
      <c r="C380" s="248"/>
      <c r="K380" s="248"/>
    </row>
    <row r="381" spans="1:11" x14ac:dyDescent="0.25">
      <c r="A381" s="115"/>
      <c r="B381" s="248"/>
      <c r="C381" s="248"/>
      <c r="K381" s="248"/>
    </row>
    <row r="382" spans="1:11" x14ac:dyDescent="0.25">
      <c r="A382" s="115"/>
      <c r="B382" s="248"/>
      <c r="C382" s="248"/>
      <c r="K382" s="248"/>
    </row>
    <row r="383" spans="1:11" x14ac:dyDescent="0.25">
      <c r="A383" s="115"/>
      <c r="B383" s="248"/>
      <c r="C383" s="248"/>
      <c r="K383" s="248"/>
    </row>
    <row r="384" spans="1:11" x14ac:dyDescent="0.25">
      <c r="A384" s="115"/>
      <c r="B384" s="248"/>
      <c r="C384" s="248"/>
      <c r="K384" s="248"/>
    </row>
    <row r="385" spans="1:11" x14ac:dyDescent="0.25">
      <c r="A385" s="115"/>
      <c r="B385" s="248"/>
      <c r="C385" s="248"/>
      <c r="K385" s="248"/>
    </row>
    <row r="386" spans="1:11" x14ac:dyDescent="0.25">
      <c r="A386" s="115"/>
      <c r="B386" s="248"/>
      <c r="C386" s="248"/>
      <c r="K386" s="248"/>
    </row>
    <row r="387" spans="1:11" x14ac:dyDescent="0.25">
      <c r="A387" s="115"/>
      <c r="B387" s="248"/>
      <c r="C387" s="248"/>
      <c r="K387" s="248"/>
    </row>
    <row r="388" spans="1:11" x14ac:dyDescent="0.25">
      <c r="A388" s="115"/>
      <c r="B388" s="248"/>
      <c r="C388" s="248"/>
      <c r="K388" s="248"/>
    </row>
    <row r="389" spans="1:11" x14ac:dyDescent="0.25">
      <c r="A389" s="115"/>
      <c r="B389" s="248"/>
      <c r="C389" s="248"/>
      <c r="K389" s="248"/>
    </row>
    <row r="390" spans="1:11" x14ac:dyDescent="0.25">
      <c r="A390" s="115"/>
      <c r="B390" s="248"/>
      <c r="C390" s="248"/>
      <c r="K390" s="248"/>
    </row>
    <row r="391" spans="1:11" x14ac:dyDescent="0.25">
      <c r="A391" s="115"/>
      <c r="B391" s="248"/>
      <c r="C391" s="248"/>
      <c r="K391" s="248"/>
    </row>
    <row r="392" spans="1:11" x14ac:dyDescent="0.25">
      <c r="A392" s="115"/>
      <c r="B392" s="248"/>
      <c r="C392" s="248"/>
      <c r="K392" s="248"/>
    </row>
    <row r="393" spans="1:11" x14ac:dyDescent="0.25">
      <c r="A393" s="115"/>
      <c r="B393" s="248"/>
      <c r="C393" s="248"/>
      <c r="K393" s="248"/>
    </row>
    <row r="394" spans="1:11" x14ac:dyDescent="0.25">
      <c r="A394" s="115"/>
      <c r="B394" s="248"/>
      <c r="C394" s="248"/>
      <c r="K394" s="248"/>
    </row>
    <row r="395" spans="1:11" x14ac:dyDescent="0.25">
      <c r="A395" s="115"/>
      <c r="B395" s="248"/>
      <c r="C395" s="248"/>
      <c r="K395" s="248"/>
    </row>
    <row r="396" spans="1:11" x14ac:dyDescent="0.25">
      <c r="A396" s="115"/>
      <c r="B396" s="248"/>
      <c r="C396" s="248"/>
      <c r="K396" s="248"/>
    </row>
    <row r="397" spans="1:11" x14ac:dyDescent="0.25">
      <c r="A397" s="115"/>
      <c r="B397" s="248"/>
      <c r="C397" s="248"/>
      <c r="K397" s="248"/>
    </row>
    <row r="398" spans="1:11" x14ac:dyDescent="0.25">
      <c r="A398" s="115"/>
      <c r="B398" s="248"/>
      <c r="C398" s="248"/>
      <c r="K398" s="248"/>
    </row>
    <row r="399" spans="1:11" x14ac:dyDescent="0.25">
      <c r="A399" s="115"/>
      <c r="B399" s="248"/>
      <c r="C399" s="248"/>
      <c r="K399" s="248"/>
    </row>
    <row r="400" spans="1:11" x14ac:dyDescent="0.25">
      <c r="A400" s="115"/>
      <c r="B400" s="248"/>
      <c r="C400" s="248"/>
      <c r="K400" s="248"/>
    </row>
    <row r="401" spans="1:11" x14ac:dyDescent="0.25">
      <c r="A401" s="115"/>
      <c r="B401" s="248"/>
      <c r="C401" s="248"/>
      <c r="K401" s="248"/>
    </row>
    <row r="402" spans="1:11" x14ac:dyDescent="0.25">
      <c r="A402" s="115"/>
      <c r="B402" s="248"/>
      <c r="C402" s="248"/>
      <c r="K402" s="248"/>
    </row>
    <row r="403" spans="1:11" x14ac:dyDescent="0.25">
      <c r="A403" s="115"/>
      <c r="B403" s="248"/>
      <c r="C403" s="248"/>
      <c r="K403" s="248"/>
    </row>
    <row r="404" spans="1:11" x14ac:dyDescent="0.25">
      <c r="A404" s="115"/>
      <c r="B404" s="248"/>
      <c r="C404" s="248"/>
      <c r="K404" s="248"/>
    </row>
    <row r="405" spans="1:11" x14ac:dyDescent="0.25">
      <c r="A405" s="115"/>
      <c r="B405" s="248"/>
      <c r="C405" s="248"/>
      <c r="K405" s="248"/>
    </row>
    <row r="406" spans="1:11" x14ac:dyDescent="0.25">
      <c r="A406" s="115"/>
      <c r="B406" s="248"/>
      <c r="C406" s="248"/>
      <c r="K406" s="248"/>
    </row>
    <row r="407" spans="1:11" x14ac:dyDescent="0.25">
      <c r="A407" s="115"/>
      <c r="B407" s="248"/>
      <c r="C407" s="248"/>
      <c r="K407" s="248"/>
    </row>
    <row r="408" spans="1:11" x14ac:dyDescent="0.25">
      <c r="A408" s="115"/>
      <c r="B408" s="248"/>
      <c r="C408" s="248"/>
      <c r="K408" s="248"/>
    </row>
    <row r="409" spans="1:11" x14ac:dyDescent="0.25">
      <c r="A409" s="115"/>
      <c r="B409" s="248"/>
      <c r="C409" s="248"/>
      <c r="K409" s="248"/>
    </row>
    <row r="410" spans="1:11" x14ac:dyDescent="0.25">
      <c r="A410" s="115"/>
      <c r="B410" s="248"/>
      <c r="C410" s="248"/>
      <c r="K410" s="248"/>
    </row>
    <row r="411" spans="1:11" x14ac:dyDescent="0.25">
      <c r="A411" s="115"/>
      <c r="B411" s="248"/>
      <c r="C411" s="248"/>
      <c r="K411" s="248"/>
    </row>
    <row r="412" spans="1:11" x14ac:dyDescent="0.25">
      <c r="A412" s="115"/>
      <c r="B412" s="248"/>
      <c r="C412" s="248"/>
      <c r="K412" s="248"/>
    </row>
    <row r="413" spans="1:11" x14ac:dyDescent="0.25">
      <c r="A413" s="115"/>
      <c r="B413" s="248"/>
      <c r="C413" s="248"/>
      <c r="K413" s="248"/>
    </row>
    <row r="414" spans="1:11" x14ac:dyDescent="0.25">
      <c r="A414" s="115"/>
      <c r="B414" s="248"/>
      <c r="C414" s="248"/>
      <c r="K414" s="248"/>
    </row>
    <row r="415" spans="1:11" x14ac:dyDescent="0.25">
      <c r="A415" s="115"/>
      <c r="B415" s="248"/>
      <c r="C415" s="248"/>
      <c r="K415" s="248"/>
    </row>
    <row r="416" spans="1:11" x14ac:dyDescent="0.25">
      <c r="A416" s="115"/>
      <c r="B416" s="248"/>
      <c r="C416" s="248"/>
      <c r="K416" s="248"/>
    </row>
    <row r="417" spans="1:11" x14ac:dyDescent="0.25">
      <c r="A417" s="115"/>
      <c r="B417" s="248"/>
      <c r="C417" s="248"/>
      <c r="K417" s="248"/>
    </row>
    <row r="418" spans="1:11" x14ac:dyDescent="0.25">
      <c r="A418" s="115"/>
      <c r="B418" s="248"/>
      <c r="C418" s="248"/>
      <c r="K418" s="248"/>
    </row>
    <row r="419" spans="1:11" x14ac:dyDescent="0.25">
      <c r="A419" s="115"/>
      <c r="B419" s="248"/>
      <c r="C419" s="248"/>
      <c r="K419" s="248"/>
    </row>
    <row r="420" spans="1:11" x14ac:dyDescent="0.25">
      <c r="A420" s="115"/>
      <c r="B420" s="248"/>
      <c r="C420" s="248"/>
      <c r="K420" s="248"/>
    </row>
    <row r="421" spans="1:11" x14ac:dyDescent="0.25">
      <c r="A421" s="115"/>
      <c r="B421" s="248"/>
      <c r="C421" s="248"/>
      <c r="K421" s="248"/>
    </row>
    <row r="422" spans="1:11" x14ac:dyDescent="0.25">
      <c r="A422" s="115"/>
      <c r="B422" s="248"/>
      <c r="C422" s="248"/>
      <c r="K422" s="248"/>
    </row>
    <row r="423" spans="1:11" x14ac:dyDescent="0.25">
      <c r="A423" s="115"/>
      <c r="B423" s="248"/>
      <c r="C423" s="248"/>
      <c r="K423" s="248"/>
    </row>
    <row r="424" spans="1:11" x14ac:dyDescent="0.25">
      <c r="A424" s="115"/>
      <c r="B424" s="248"/>
      <c r="C424" s="248"/>
      <c r="K424" s="248"/>
    </row>
    <row r="425" spans="1:11" x14ac:dyDescent="0.25">
      <c r="A425" s="115"/>
      <c r="B425" s="248"/>
      <c r="C425" s="248"/>
      <c r="K425" s="248"/>
    </row>
    <row r="426" spans="1:11" x14ac:dyDescent="0.25">
      <c r="A426" s="115"/>
      <c r="B426" s="248"/>
      <c r="C426" s="248"/>
      <c r="K426" s="248"/>
    </row>
    <row r="427" spans="1:11" x14ac:dyDescent="0.25">
      <c r="A427" s="115"/>
      <c r="B427" s="248"/>
      <c r="C427" s="248"/>
      <c r="K427" s="248"/>
    </row>
    <row r="428" spans="1:11" x14ac:dyDescent="0.25">
      <c r="A428" s="115"/>
      <c r="B428" s="248"/>
      <c r="C428" s="248"/>
      <c r="K428" s="248"/>
    </row>
    <row r="429" spans="1:11" x14ac:dyDescent="0.25">
      <c r="A429" s="115"/>
      <c r="B429" s="248"/>
      <c r="C429" s="248"/>
      <c r="K429" s="248"/>
    </row>
    <row r="430" spans="1:11" x14ac:dyDescent="0.25">
      <c r="A430" s="115"/>
      <c r="B430" s="248"/>
      <c r="C430" s="248"/>
      <c r="K430" s="248"/>
    </row>
    <row r="431" spans="1:11" x14ac:dyDescent="0.25">
      <c r="A431" s="115"/>
      <c r="B431" s="248"/>
      <c r="C431" s="248"/>
      <c r="K431" s="248"/>
    </row>
    <row r="432" spans="1:11" x14ac:dyDescent="0.25">
      <c r="A432" s="115"/>
      <c r="B432" s="248"/>
      <c r="C432" s="248"/>
      <c r="K432" s="248"/>
    </row>
    <row r="433" spans="1:11" x14ac:dyDescent="0.25">
      <c r="A433" s="115"/>
      <c r="B433" s="248"/>
      <c r="C433" s="248"/>
      <c r="K433" s="248"/>
    </row>
    <row r="434" spans="1:11" x14ac:dyDescent="0.25">
      <c r="A434" s="115"/>
      <c r="B434" s="248"/>
      <c r="C434" s="248"/>
      <c r="K434" s="248"/>
    </row>
    <row r="435" spans="1:11" x14ac:dyDescent="0.25">
      <c r="A435" s="115"/>
      <c r="B435" s="248"/>
      <c r="C435" s="248"/>
      <c r="K435" s="248"/>
    </row>
    <row r="436" spans="1:11" x14ac:dyDescent="0.25">
      <c r="A436" s="115"/>
      <c r="B436" s="248"/>
      <c r="C436" s="248"/>
      <c r="K436" s="248"/>
    </row>
    <row r="437" spans="1:11" x14ac:dyDescent="0.25">
      <c r="A437" s="115"/>
      <c r="B437" s="248"/>
      <c r="C437" s="248"/>
      <c r="K437" s="248"/>
    </row>
    <row r="438" spans="1:11" x14ac:dyDescent="0.25">
      <c r="A438" s="115"/>
      <c r="B438" s="248"/>
      <c r="C438" s="248"/>
      <c r="K438" s="248"/>
    </row>
    <row r="439" spans="1:11" x14ac:dyDescent="0.25">
      <c r="A439" s="115"/>
      <c r="B439" s="248"/>
      <c r="C439" s="248"/>
      <c r="K439" s="248"/>
    </row>
    <row r="440" spans="1:11" x14ac:dyDescent="0.25">
      <c r="A440" s="115"/>
      <c r="B440" s="248"/>
      <c r="C440" s="248"/>
      <c r="K440" s="248"/>
    </row>
    <row r="441" spans="1:11" x14ac:dyDescent="0.25">
      <c r="A441" s="115"/>
      <c r="B441" s="248"/>
      <c r="C441" s="248"/>
      <c r="K441" s="248"/>
    </row>
    <row r="442" spans="1:11" x14ac:dyDescent="0.25">
      <c r="A442" s="115"/>
      <c r="B442" s="248"/>
      <c r="C442" s="248"/>
      <c r="K442" s="248"/>
    </row>
    <row r="443" spans="1:11" x14ac:dyDescent="0.25">
      <c r="A443" s="115"/>
      <c r="B443" s="248"/>
      <c r="C443" s="248"/>
      <c r="K443" s="248"/>
    </row>
    <row r="444" spans="1:11" x14ac:dyDescent="0.25">
      <c r="A444" s="115"/>
      <c r="B444" s="248"/>
      <c r="C444" s="248"/>
      <c r="K444" s="248"/>
    </row>
    <row r="445" spans="1:11" x14ac:dyDescent="0.25">
      <c r="A445" s="115"/>
      <c r="B445" s="248"/>
      <c r="C445" s="248"/>
      <c r="K445" s="248"/>
    </row>
    <row r="446" spans="1:11" x14ac:dyDescent="0.25">
      <c r="A446" s="115"/>
      <c r="B446" s="248"/>
      <c r="C446" s="248"/>
      <c r="K446" s="248"/>
    </row>
    <row r="447" spans="1:11" x14ac:dyDescent="0.25">
      <c r="A447" s="115"/>
      <c r="B447" s="248"/>
      <c r="C447" s="248"/>
      <c r="K447" s="248"/>
    </row>
    <row r="448" spans="1:11" x14ac:dyDescent="0.25">
      <c r="A448" s="115"/>
      <c r="B448" s="248"/>
      <c r="C448" s="248"/>
      <c r="K448" s="248"/>
    </row>
    <row r="449" spans="1:11" x14ac:dyDescent="0.25">
      <c r="A449" s="115"/>
      <c r="B449" s="248"/>
      <c r="C449" s="248"/>
      <c r="K449" s="248"/>
    </row>
    <row r="450" spans="1:11" x14ac:dyDescent="0.25">
      <c r="A450" s="115"/>
      <c r="B450" s="248"/>
      <c r="C450" s="248"/>
      <c r="K450" s="248"/>
    </row>
    <row r="451" spans="1:11" x14ac:dyDescent="0.25">
      <c r="A451" s="115"/>
      <c r="B451" s="248"/>
      <c r="C451" s="248"/>
      <c r="K451" s="248"/>
    </row>
    <row r="452" spans="1:11" x14ac:dyDescent="0.25">
      <c r="A452" s="115"/>
      <c r="B452" s="248"/>
      <c r="C452" s="248"/>
      <c r="K452" s="248"/>
    </row>
    <row r="453" spans="1:11" x14ac:dyDescent="0.25">
      <c r="A453" s="115"/>
      <c r="B453" s="248"/>
      <c r="C453" s="248"/>
      <c r="K453" s="248"/>
    </row>
    <row r="454" spans="1:11" x14ac:dyDescent="0.25">
      <c r="A454" s="115"/>
      <c r="B454" s="248"/>
      <c r="C454" s="248"/>
      <c r="K454" s="248"/>
    </row>
    <row r="455" spans="1:11" x14ac:dyDescent="0.25">
      <c r="A455" s="115"/>
      <c r="B455" s="248"/>
      <c r="C455" s="248"/>
      <c r="K455" s="248"/>
    </row>
    <row r="456" spans="1:11" x14ac:dyDescent="0.25">
      <c r="A456" s="115"/>
      <c r="B456" s="248"/>
      <c r="C456" s="248"/>
      <c r="K456" s="248"/>
    </row>
    <row r="457" spans="1:11" x14ac:dyDescent="0.25">
      <c r="A457" s="115"/>
      <c r="B457" s="248"/>
      <c r="C457" s="248"/>
      <c r="K457" s="248"/>
    </row>
    <row r="458" spans="1:11" x14ac:dyDescent="0.25">
      <c r="A458" s="115"/>
      <c r="B458" s="248"/>
      <c r="C458" s="248"/>
      <c r="K458" s="248"/>
    </row>
    <row r="459" spans="1:11" x14ac:dyDescent="0.25">
      <c r="A459" s="115"/>
      <c r="B459" s="248"/>
      <c r="C459" s="248"/>
      <c r="K459" s="248"/>
    </row>
    <row r="460" spans="1:11" x14ac:dyDescent="0.25">
      <c r="A460" s="115"/>
      <c r="B460" s="248"/>
      <c r="C460" s="248"/>
      <c r="K460" s="248"/>
    </row>
    <row r="461" spans="1:11" x14ac:dyDescent="0.25">
      <c r="A461" s="115"/>
      <c r="B461" s="248"/>
      <c r="C461" s="248"/>
      <c r="K461" s="248"/>
    </row>
    <row r="462" spans="1:11" x14ac:dyDescent="0.25">
      <c r="A462" s="115"/>
      <c r="B462" s="248"/>
      <c r="C462" s="248"/>
      <c r="K462" s="248"/>
    </row>
    <row r="463" spans="1:11" x14ac:dyDescent="0.25">
      <c r="A463" s="115"/>
      <c r="B463" s="248"/>
      <c r="C463" s="248"/>
      <c r="K463" s="248"/>
    </row>
    <row r="464" spans="1:11" x14ac:dyDescent="0.25">
      <c r="A464" s="115"/>
      <c r="B464" s="248"/>
      <c r="C464" s="248"/>
      <c r="K464" s="248"/>
    </row>
    <row r="465" spans="1:11" x14ac:dyDescent="0.25">
      <c r="A465" s="115"/>
      <c r="B465" s="248"/>
      <c r="C465" s="248"/>
      <c r="K465" s="248"/>
    </row>
    <row r="466" spans="1:11" x14ac:dyDescent="0.25">
      <c r="A466" s="115"/>
      <c r="B466" s="248"/>
      <c r="C466" s="248"/>
      <c r="K466" s="248"/>
    </row>
    <row r="467" spans="1:11" x14ac:dyDescent="0.25">
      <c r="A467" s="115"/>
      <c r="B467" s="248"/>
      <c r="C467" s="248"/>
      <c r="K467" s="248"/>
    </row>
    <row r="468" spans="1:11" x14ac:dyDescent="0.25">
      <c r="A468" s="115"/>
      <c r="B468" s="248"/>
      <c r="C468" s="248"/>
      <c r="K468" s="248"/>
    </row>
    <row r="469" spans="1:11" x14ac:dyDescent="0.25">
      <c r="A469" s="115"/>
      <c r="B469" s="248"/>
      <c r="C469" s="248"/>
      <c r="K469" s="248"/>
    </row>
    <row r="470" spans="1:11" x14ac:dyDescent="0.25">
      <c r="A470" s="115"/>
      <c r="B470" s="248"/>
      <c r="C470" s="248"/>
      <c r="K470" s="248"/>
    </row>
    <row r="471" spans="1:11" x14ac:dyDescent="0.25">
      <c r="A471" s="115"/>
      <c r="B471" s="248"/>
      <c r="C471" s="248"/>
      <c r="K471" s="248"/>
    </row>
    <row r="472" spans="1:11" x14ac:dyDescent="0.25">
      <c r="A472" s="115"/>
      <c r="B472" s="248"/>
      <c r="C472" s="248"/>
      <c r="K472" s="248"/>
    </row>
    <row r="473" spans="1:11" x14ac:dyDescent="0.25">
      <c r="A473" s="115"/>
      <c r="B473" s="248"/>
      <c r="C473" s="248"/>
      <c r="K473" s="248"/>
    </row>
    <row r="474" spans="1:11" x14ac:dyDescent="0.25">
      <c r="A474" s="115"/>
      <c r="B474" s="248"/>
      <c r="C474" s="248"/>
      <c r="K474" s="248"/>
    </row>
    <row r="475" spans="1:11" x14ac:dyDescent="0.25">
      <c r="A475" s="115"/>
      <c r="B475" s="248"/>
      <c r="C475" s="248"/>
      <c r="K475" s="248"/>
    </row>
    <row r="476" spans="1:11" x14ac:dyDescent="0.25">
      <c r="A476" s="115"/>
      <c r="B476" s="248"/>
      <c r="C476" s="248"/>
      <c r="K476" s="248"/>
    </row>
    <row r="477" spans="1:11" x14ac:dyDescent="0.25">
      <c r="A477" s="115"/>
      <c r="B477" s="248"/>
      <c r="C477" s="248"/>
      <c r="K477" s="248"/>
    </row>
    <row r="478" spans="1:11" x14ac:dyDescent="0.25">
      <c r="A478" s="115"/>
      <c r="B478" s="248"/>
      <c r="C478" s="248"/>
      <c r="K478" s="248"/>
    </row>
    <row r="479" spans="1:11" x14ac:dyDescent="0.25">
      <c r="A479" s="115"/>
      <c r="B479" s="248"/>
      <c r="C479" s="248"/>
      <c r="K479" s="248"/>
    </row>
    <row r="480" spans="1:11" x14ac:dyDescent="0.25">
      <c r="A480" s="115"/>
      <c r="B480" s="248"/>
      <c r="C480" s="248"/>
      <c r="K480" s="248"/>
    </row>
    <row r="481" spans="1:11" x14ac:dyDescent="0.25">
      <c r="A481" s="115"/>
      <c r="B481" s="248"/>
      <c r="C481" s="248"/>
      <c r="K481" s="248"/>
    </row>
    <row r="482" spans="1:11" x14ac:dyDescent="0.25">
      <c r="A482" s="115"/>
      <c r="B482" s="248"/>
      <c r="C482" s="248"/>
      <c r="K482" s="248"/>
    </row>
    <row r="483" spans="1:11" x14ac:dyDescent="0.25">
      <c r="A483" s="115"/>
      <c r="B483" s="248"/>
      <c r="C483" s="248"/>
      <c r="K483" s="248"/>
    </row>
    <row r="484" spans="1:11" x14ac:dyDescent="0.25">
      <c r="A484" s="115"/>
      <c r="B484" s="248"/>
      <c r="C484" s="248"/>
      <c r="K484" s="248"/>
    </row>
    <row r="485" spans="1:11" x14ac:dyDescent="0.25">
      <c r="A485" s="115"/>
      <c r="B485" s="248"/>
      <c r="C485" s="248"/>
      <c r="K485" s="248"/>
    </row>
    <row r="486" spans="1:11" x14ac:dyDescent="0.25">
      <c r="A486" s="115"/>
      <c r="B486" s="248"/>
      <c r="C486" s="248"/>
      <c r="K486" s="248"/>
    </row>
    <row r="487" spans="1:11" x14ac:dyDescent="0.25">
      <c r="A487" s="115"/>
      <c r="B487" s="248"/>
      <c r="C487" s="248"/>
      <c r="K487" s="248"/>
    </row>
    <row r="488" spans="1:11" x14ac:dyDescent="0.25">
      <c r="A488" s="115"/>
      <c r="B488" s="248"/>
      <c r="C488" s="248"/>
      <c r="K488" s="248"/>
    </row>
    <row r="489" spans="1:11" x14ac:dyDescent="0.25">
      <c r="A489" s="115"/>
      <c r="B489" s="248"/>
      <c r="C489" s="248"/>
      <c r="K489" s="248"/>
    </row>
    <row r="490" spans="1:11" x14ac:dyDescent="0.25">
      <c r="A490" s="115"/>
      <c r="B490" s="248"/>
      <c r="C490" s="248"/>
      <c r="K490" s="248"/>
    </row>
    <row r="491" spans="1:11" x14ac:dyDescent="0.25">
      <c r="A491" s="115"/>
      <c r="B491" s="248"/>
      <c r="C491" s="248"/>
      <c r="K491" s="248"/>
    </row>
    <row r="492" spans="1:11" x14ac:dyDescent="0.25">
      <c r="A492" s="115"/>
      <c r="B492" s="248"/>
      <c r="C492" s="248"/>
      <c r="K492" s="248"/>
    </row>
    <row r="493" spans="1:11" x14ac:dyDescent="0.25">
      <c r="A493" s="115"/>
      <c r="B493" s="248"/>
      <c r="C493" s="248"/>
      <c r="K493" s="248"/>
    </row>
    <row r="494" spans="1:11" x14ac:dyDescent="0.25">
      <c r="A494" s="115"/>
      <c r="B494" s="248"/>
      <c r="C494" s="248"/>
      <c r="K494" s="248"/>
    </row>
    <row r="495" spans="1:11" x14ac:dyDescent="0.25">
      <c r="A495" s="115"/>
      <c r="B495" s="248"/>
      <c r="C495" s="248"/>
      <c r="K495" s="248"/>
    </row>
    <row r="496" spans="1:11" x14ac:dyDescent="0.25">
      <c r="A496" s="115"/>
      <c r="B496" s="248"/>
      <c r="C496" s="248"/>
      <c r="K496" s="248"/>
    </row>
    <row r="497" spans="1:11" x14ac:dyDescent="0.25">
      <c r="A497" s="115"/>
      <c r="B497" s="248"/>
      <c r="C497" s="248"/>
      <c r="K497" s="248"/>
    </row>
    <row r="498" spans="1:11" x14ac:dyDescent="0.25">
      <c r="A498" s="115"/>
      <c r="B498" s="248"/>
      <c r="C498" s="248"/>
      <c r="K498" s="248"/>
    </row>
    <row r="499" spans="1:11" x14ac:dyDescent="0.25">
      <c r="A499" s="115"/>
      <c r="B499" s="248"/>
      <c r="C499" s="248"/>
      <c r="K499" s="248"/>
    </row>
    <row r="500" spans="1:11" x14ac:dyDescent="0.25">
      <c r="A500" s="115"/>
      <c r="B500" s="248"/>
      <c r="C500" s="248"/>
      <c r="K500" s="248"/>
    </row>
    <row r="501" spans="1:11" x14ac:dyDescent="0.25">
      <c r="A501" s="115"/>
      <c r="B501" s="248"/>
      <c r="C501" s="248"/>
      <c r="K501" s="248"/>
    </row>
    <row r="502" spans="1:11" x14ac:dyDescent="0.25">
      <c r="A502" s="115"/>
      <c r="B502" s="248"/>
      <c r="C502" s="248"/>
      <c r="K502" s="248"/>
    </row>
    <row r="503" spans="1:11" x14ac:dyDescent="0.25">
      <c r="A503" s="115"/>
      <c r="B503" s="248"/>
      <c r="C503" s="248"/>
      <c r="K503" s="248"/>
    </row>
    <row r="504" spans="1:11" x14ac:dyDescent="0.25">
      <c r="A504" s="115"/>
      <c r="B504" s="248"/>
      <c r="C504" s="248"/>
      <c r="K504" s="248"/>
    </row>
    <row r="505" spans="1:11" x14ac:dyDescent="0.25">
      <c r="A505" s="115"/>
      <c r="B505" s="248"/>
      <c r="C505" s="248"/>
      <c r="K505" s="248"/>
    </row>
    <row r="506" spans="1:11" x14ac:dyDescent="0.25">
      <c r="A506" s="115"/>
      <c r="B506" s="248"/>
      <c r="C506" s="248"/>
      <c r="K506" s="248"/>
    </row>
    <row r="507" spans="1:11" x14ac:dyDescent="0.25">
      <c r="A507" s="115"/>
      <c r="B507" s="248"/>
      <c r="C507" s="248"/>
      <c r="K507" s="248"/>
    </row>
    <row r="508" spans="1:11" x14ac:dyDescent="0.25">
      <c r="A508" s="115"/>
      <c r="B508" s="248"/>
      <c r="C508" s="248"/>
      <c r="K508" s="248"/>
    </row>
    <row r="509" spans="1:11" x14ac:dyDescent="0.25">
      <c r="A509" s="115"/>
      <c r="B509" s="248"/>
      <c r="C509" s="248"/>
      <c r="K509" s="248"/>
    </row>
    <row r="510" spans="1:11" x14ac:dyDescent="0.25">
      <c r="A510" s="115"/>
      <c r="B510" s="248"/>
      <c r="C510" s="248"/>
      <c r="K510" s="248"/>
    </row>
    <row r="511" spans="1:11" x14ac:dyDescent="0.25">
      <c r="A511" s="115"/>
      <c r="B511" s="248"/>
      <c r="C511" s="248"/>
      <c r="K511" s="248"/>
    </row>
    <row r="512" spans="1:11" x14ac:dyDescent="0.25">
      <c r="A512" s="115"/>
      <c r="B512" s="248"/>
      <c r="C512" s="248"/>
      <c r="K512" s="248"/>
    </row>
    <row r="513" spans="1:11" x14ac:dyDescent="0.25">
      <c r="A513" s="115"/>
      <c r="B513" s="248"/>
      <c r="C513" s="248"/>
      <c r="K513" s="248"/>
    </row>
    <row r="514" spans="1:11" x14ac:dyDescent="0.25">
      <c r="A514" s="115"/>
      <c r="B514" s="248"/>
      <c r="C514" s="248"/>
      <c r="K514" s="248"/>
    </row>
    <row r="515" spans="1:11" x14ac:dyDescent="0.25">
      <c r="A515" s="115"/>
      <c r="B515" s="248"/>
      <c r="C515" s="248"/>
      <c r="K515" s="248"/>
    </row>
    <row r="516" spans="1:11" x14ac:dyDescent="0.25">
      <c r="A516" s="115"/>
      <c r="B516" s="248"/>
      <c r="C516" s="248"/>
      <c r="K516" s="248"/>
    </row>
    <row r="517" spans="1:11" x14ac:dyDescent="0.25">
      <c r="A517" s="115"/>
      <c r="B517" s="248"/>
      <c r="C517" s="248"/>
      <c r="K517" s="248"/>
    </row>
    <row r="518" spans="1:11" x14ac:dyDescent="0.25">
      <c r="A518" s="115"/>
      <c r="B518" s="248"/>
      <c r="C518" s="248"/>
      <c r="K518" s="248"/>
    </row>
    <row r="519" spans="1:11" x14ac:dyDescent="0.25">
      <c r="A519" s="115"/>
      <c r="B519" s="248"/>
      <c r="C519" s="248"/>
      <c r="K519" s="248"/>
    </row>
    <row r="520" spans="1:11" x14ac:dyDescent="0.25">
      <c r="A520" s="115"/>
      <c r="B520" s="248"/>
      <c r="C520" s="248"/>
      <c r="K520" s="248"/>
    </row>
    <row r="521" spans="1:11" x14ac:dyDescent="0.25">
      <c r="A521" s="115"/>
      <c r="B521" s="248"/>
      <c r="C521" s="248"/>
      <c r="K521" s="248"/>
    </row>
    <row r="522" spans="1:11" x14ac:dyDescent="0.25">
      <c r="A522" s="115"/>
      <c r="B522" s="248"/>
      <c r="C522" s="248"/>
      <c r="K522" s="248"/>
    </row>
    <row r="523" spans="1:11" x14ac:dyDescent="0.25">
      <c r="A523" s="115"/>
      <c r="B523" s="248"/>
      <c r="C523" s="248"/>
      <c r="K523" s="248"/>
    </row>
    <row r="524" spans="1:11" x14ac:dyDescent="0.25">
      <c r="A524" s="115"/>
      <c r="B524" s="248"/>
      <c r="C524" s="248"/>
      <c r="K524" s="248"/>
    </row>
    <row r="525" spans="1:11" x14ac:dyDescent="0.25">
      <c r="A525" s="115"/>
      <c r="B525" s="248"/>
      <c r="C525" s="248"/>
      <c r="K525" s="248"/>
    </row>
    <row r="526" spans="1:11" x14ac:dyDescent="0.25">
      <c r="A526" s="115"/>
      <c r="B526" s="248"/>
      <c r="C526" s="248"/>
      <c r="K526" s="248"/>
    </row>
    <row r="527" spans="1:11" x14ac:dyDescent="0.25">
      <c r="A527" s="115"/>
      <c r="B527" s="248"/>
      <c r="C527" s="248"/>
      <c r="K527" s="248"/>
    </row>
    <row r="528" spans="1:11" x14ac:dyDescent="0.25">
      <c r="A528" s="115"/>
      <c r="B528" s="248"/>
      <c r="C528" s="248"/>
      <c r="K528" s="248"/>
    </row>
    <row r="529" spans="1:11" x14ac:dyDescent="0.25">
      <c r="A529" s="115"/>
      <c r="B529" s="248"/>
      <c r="C529" s="248"/>
      <c r="K529" s="248"/>
    </row>
    <row r="530" spans="1:11" x14ac:dyDescent="0.25">
      <c r="A530" s="115"/>
      <c r="B530" s="248"/>
      <c r="C530" s="248"/>
      <c r="K530" s="248"/>
    </row>
    <row r="531" spans="1:11" x14ac:dyDescent="0.25">
      <c r="A531" s="115"/>
      <c r="B531" s="248"/>
      <c r="C531" s="248"/>
      <c r="K531" s="248"/>
    </row>
    <row r="532" spans="1:11" x14ac:dyDescent="0.25">
      <c r="A532" s="115"/>
      <c r="B532" s="248"/>
      <c r="C532" s="248"/>
      <c r="K532" s="248"/>
    </row>
    <row r="533" spans="1:11" x14ac:dyDescent="0.25">
      <c r="A533" s="115"/>
      <c r="B533" s="248"/>
      <c r="C533" s="248"/>
      <c r="K533" s="248"/>
    </row>
    <row r="534" spans="1:11" x14ac:dyDescent="0.25">
      <c r="A534" s="115"/>
      <c r="B534" s="248"/>
      <c r="C534" s="248"/>
      <c r="K534" s="248"/>
    </row>
    <row r="535" spans="1:11" x14ac:dyDescent="0.25">
      <c r="A535" s="115"/>
      <c r="B535" s="248"/>
      <c r="C535" s="248"/>
      <c r="K535" s="248"/>
    </row>
    <row r="536" spans="1:11" x14ac:dyDescent="0.25">
      <c r="A536" s="115"/>
      <c r="B536" s="248"/>
      <c r="C536" s="248"/>
      <c r="K536" s="248"/>
    </row>
    <row r="537" spans="1:11" x14ac:dyDescent="0.25">
      <c r="A537" s="115"/>
      <c r="B537" s="248"/>
      <c r="C537" s="248"/>
      <c r="K537" s="248"/>
    </row>
    <row r="538" spans="1:11" x14ac:dyDescent="0.25">
      <c r="A538" s="115"/>
      <c r="B538" s="248"/>
      <c r="C538" s="248"/>
      <c r="K538" s="248"/>
    </row>
    <row r="539" spans="1:11" x14ac:dyDescent="0.25">
      <c r="A539" s="115"/>
      <c r="B539" s="248"/>
      <c r="C539" s="248"/>
      <c r="K539" s="248"/>
    </row>
    <row r="540" spans="1:11" x14ac:dyDescent="0.25">
      <c r="A540" s="115"/>
      <c r="B540" s="248"/>
      <c r="C540" s="248"/>
      <c r="K540" s="248"/>
    </row>
    <row r="541" spans="1:11" x14ac:dyDescent="0.25">
      <c r="A541" s="115"/>
      <c r="B541" s="248"/>
      <c r="C541" s="248"/>
      <c r="K541" s="248"/>
    </row>
    <row r="542" spans="1:11" x14ac:dyDescent="0.25">
      <c r="A542" s="115"/>
      <c r="B542" s="248"/>
      <c r="C542" s="248"/>
      <c r="K542" s="248"/>
    </row>
    <row r="543" spans="1:11" x14ac:dyDescent="0.25">
      <c r="A543" s="115"/>
      <c r="B543" s="248"/>
      <c r="C543" s="248"/>
      <c r="K543" s="248"/>
    </row>
    <row r="544" spans="1:11" x14ac:dyDescent="0.25">
      <c r="A544" s="115"/>
      <c r="B544" s="248"/>
      <c r="C544" s="248"/>
      <c r="K544" s="248"/>
    </row>
    <row r="545" spans="1:11" x14ac:dyDescent="0.25">
      <c r="A545" s="115"/>
      <c r="B545" s="248"/>
      <c r="C545" s="248"/>
      <c r="K545" s="248"/>
    </row>
    <row r="546" spans="1:11" x14ac:dyDescent="0.25">
      <c r="A546" s="115"/>
      <c r="B546" s="248"/>
      <c r="C546" s="248"/>
      <c r="K546" s="248"/>
    </row>
    <row r="547" spans="1:11" x14ac:dyDescent="0.25">
      <c r="A547" s="115"/>
      <c r="B547" s="248"/>
      <c r="C547" s="248"/>
      <c r="K547" s="248"/>
    </row>
    <row r="548" spans="1:11" x14ac:dyDescent="0.25">
      <c r="A548" s="115"/>
      <c r="B548" s="248"/>
      <c r="C548" s="248"/>
      <c r="K548" s="248"/>
    </row>
    <row r="549" spans="1:11" x14ac:dyDescent="0.25">
      <c r="A549" s="115"/>
      <c r="B549" s="248"/>
      <c r="C549" s="248"/>
      <c r="K549" s="248"/>
    </row>
    <row r="550" spans="1:11" x14ac:dyDescent="0.25">
      <c r="A550" s="115"/>
      <c r="B550" s="248"/>
      <c r="C550" s="248"/>
      <c r="K550" s="248"/>
    </row>
    <row r="551" spans="1:11" x14ac:dyDescent="0.25">
      <c r="A551" s="115"/>
      <c r="B551" s="248"/>
      <c r="C551" s="248"/>
      <c r="K551" s="248"/>
    </row>
    <row r="552" spans="1:11" x14ac:dyDescent="0.25">
      <c r="A552" s="115"/>
      <c r="B552" s="248"/>
      <c r="C552" s="248"/>
      <c r="K552" s="248"/>
    </row>
    <row r="553" spans="1:11" x14ac:dyDescent="0.25">
      <c r="A553" s="115"/>
      <c r="B553" s="248"/>
      <c r="C553" s="248"/>
      <c r="K553" s="248"/>
    </row>
    <row r="554" spans="1:11" x14ac:dyDescent="0.25">
      <c r="A554" s="115"/>
      <c r="B554" s="248"/>
      <c r="C554" s="248"/>
      <c r="K554" s="248"/>
    </row>
    <row r="555" spans="1:11" x14ac:dyDescent="0.25">
      <c r="A555" s="115"/>
      <c r="B555" s="248"/>
      <c r="C555" s="248"/>
      <c r="K555" s="248"/>
    </row>
    <row r="556" spans="1:11" x14ac:dyDescent="0.25">
      <c r="A556" s="115"/>
      <c r="B556" s="248"/>
      <c r="C556" s="248"/>
      <c r="K556" s="248"/>
    </row>
    <row r="557" spans="1:11" x14ac:dyDescent="0.25">
      <c r="A557" s="115"/>
      <c r="B557" s="248"/>
      <c r="C557" s="248"/>
      <c r="K557" s="248"/>
    </row>
    <row r="558" spans="1:11" x14ac:dyDescent="0.25">
      <c r="A558" s="115"/>
      <c r="B558" s="248"/>
      <c r="C558" s="248"/>
      <c r="K558" s="248"/>
    </row>
    <row r="559" spans="1:11" x14ac:dyDescent="0.25">
      <c r="A559" s="115"/>
      <c r="B559" s="248"/>
      <c r="C559" s="248"/>
      <c r="K559" s="248"/>
    </row>
    <row r="560" spans="1:11" x14ac:dyDescent="0.25">
      <c r="A560" s="115"/>
      <c r="B560" s="248"/>
      <c r="C560" s="248"/>
      <c r="K560" s="248"/>
    </row>
    <row r="561" spans="1:11" x14ac:dyDescent="0.25">
      <c r="A561" s="115"/>
      <c r="B561" s="248"/>
      <c r="C561" s="248"/>
      <c r="K561" s="248"/>
    </row>
    <row r="562" spans="1:11" x14ac:dyDescent="0.25">
      <c r="A562" s="115"/>
      <c r="B562" s="248"/>
      <c r="C562" s="248"/>
      <c r="K562" s="248"/>
    </row>
    <row r="563" spans="1:11" x14ac:dyDescent="0.25">
      <c r="A563" s="115"/>
      <c r="B563" s="248"/>
      <c r="C563" s="248"/>
      <c r="K563" s="248"/>
    </row>
    <row r="564" spans="1:11" x14ac:dyDescent="0.25">
      <c r="A564" s="115"/>
      <c r="B564" s="248"/>
      <c r="C564" s="248"/>
      <c r="K564" s="248"/>
    </row>
    <row r="565" spans="1:11" x14ac:dyDescent="0.25">
      <c r="A565" s="115"/>
      <c r="B565" s="248"/>
      <c r="C565" s="248"/>
      <c r="K565" s="248"/>
    </row>
    <row r="566" spans="1:11" x14ac:dyDescent="0.25">
      <c r="A566" s="115"/>
      <c r="B566" s="248"/>
      <c r="C566" s="248"/>
      <c r="K566" s="248"/>
    </row>
    <row r="567" spans="1:11" x14ac:dyDescent="0.25">
      <c r="A567" s="115"/>
      <c r="B567" s="248"/>
      <c r="C567" s="248"/>
      <c r="K567" s="248"/>
    </row>
    <row r="568" spans="1:11" x14ac:dyDescent="0.25">
      <c r="A568" s="115"/>
      <c r="B568" s="248"/>
      <c r="C568" s="248"/>
      <c r="K568" s="248"/>
    </row>
    <row r="569" spans="1:11" x14ac:dyDescent="0.25">
      <c r="A569" s="115"/>
      <c r="B569" s="248"/>
      <c r="C569" s="248"/>
      <c r="K569" s="248"/>
    </row>
    <row r="570" spans="1:11" x14ac:dyDescent="0.25">
      <c r="A570" s="115"/>
      <c r="B570" s="248"/>
      <c r="C570" s="248"/>
      <c r="K570" s="248"/>
    </row>
    <row r="571" spans="1:11" x14ac:dyDescent="0.25">
      <c r="A571" s="115"/>
      <c r="B571" s="248"/>
      <c r="C571" s="248"/>
      <c r="K571" s="248"/>
    </row>
    <row r="572" spans="1:11" x14ac:dyDescent="0.25">
      <c r="A572" s="115"/>
      <c r="B572" s="248"/>
      <c r="C572" s="248"/>
      <c r="K572" s="248"/>
    </row>
    <row r="573" spans="1:11" x14ac:dyDescent="0.25">
      <c r="A573" s="115"/>
      <c r="B573" s="248"/>
      <c r="C573" s="248"/>
      <c r="K573" s="248"/>
    </row>
    <row r="574" spans="1:11" x14ac:dyDescent="0.25">
      <c r="A574" s="115"/>
      <c r="B574" s="248"/>
      <c r="C574" s="248"/>
      <c r="K574" s="248"/>
    </row>
    <row r="575" spans="1:11" x14ac:dyDescent="0.25">
      <c r="A575" s="115"/>
      <c r="B575" s="248"/>
      <c r="C575" s="248"/>
      <c r="K575" s="248"/>
    </row>
    <row r="576" spans="1:11" x14ac:dyDescent="0.25">
      <c r="A576" s="115"/>
      <c r="B576" s="248"/>
      <c r="C576" s="248"/>
      <c r="K576" s="248"/>
    </row>
    <row r="577" spans="1:11" x14ac:dyDescent="0.25">
      <c r="A577" s="115"/>
      <c r="B577" s="248"/>
      <c r="C577" s="248"/>
      <c r="K577" s="248"/>
    </row>
    <row r="578" spans="1:11" x14ac:dyDescent="0.25">
      <c r="A578" s="115"/>
      <c r="B578" s="248"/>
      <c r="C578" s="248"/>
      <c r="K578" s="248"/>
    </row>
    <row r="579" spans="1:11" x14ac:dyDescent="0.25">
      <c r="A579" s="115"/>
      <c r="B579" s="248"/>
      <c r="C579" s="248"/>
      <c r="K579" s="248"/>
    </row>
    <row r="580" spans="1:11" x14ac:dyDescent="0.25">
      <c r="A580" s="115"/>
      <c r="B580" s="248"/>
      <c r="C580" s="248"/>
      <c r="K580" s="248"/>
    </row>
    <row r="581" spans="1:11" x14ac:dyDescent="0.25">
      <c r="A581" s="115"/>
      <c r="B581" s="248"/>
      <c r="C581" s="248"/>
      <c r="K581" s="248"/>
    </row>
    <row r="582" spans="1:11" x14ac:dyDescent="0.25">
      <c r="A582" s="115"/>
      <c r="B582" s="248"/>
      <c r="C582" s="248"/>
      <c r="K582" s="248"/>
    </row>
    <row r="583" spans="1:11" x14ac:dyDescent="0.25">
      <c r="A583" s="115"/>
      <c r="B583" s="248"/>
      <c r="C583" s="248"/>
      <c r="K583" s="248"/>
    </row>
    <row r="584" spans="1:11" x14ac:dyDescent="0.25">
      <c r="A584" s="115"/>
      <c r="B584" s="248"/>
      <c r="C584" s="248"/>
      <c r="K584" s="248"/>
    </row>
    <row r="585" spans="1:11" x14ac:dyDescent="0.25">
      <c r="A585" s="115"/>
      <c r="B585" s="248"/>
      <c r="C585" s="248"/>
      <c r="K585" s="248"/>
    </row>
    <row r="586" spans="1:11" x14ac:dyDescent="0.25">
      <c r="A586" s="115"/>
      <c r="B586" s="248"/>
      <c r="C586" s="248"/>
      <c r="K586" s="248"/>
    </row>
    <row r="587" spans="1:11" x14ac:dyDescent="0.25">
      <c r="A587" s="115"/>
      <c r="B587" s="248"/>
      <c r="C587" s="248"/>
      <c r="K587" s="248"/>
    </row>
    <row r="588" spans="1:11" x14ac:dyDescent="0.25">
      <c r="A588" s="115"/>
      <c r="B588" s="248"/>
      <c r="C588" s="248"/>
      <c r="K588" s="248"/>
    </row>
    <row r="589" spans="1:11" x14ac:dyDescent="0.25">
      <c r="A589" s="115"/>
      <c r="B589" s="248"/>
      <c r="C589" s="248"/>
      <c r="K589" s="248"/>
    </row>
    <row r="590" spans="1:11" x14ac:dyDescent="0.25">
      <c r="A590" s="115"/>
      <c r="B590" s="248"/>
      <c r="C590" s="248"/>
      <c r="K590" s="248"/>
    </row>
    <row r="591" spans="1:11" x14ac:dyDescent="0.25">
      <c r="A591" s="115"/>
      <c r="B591" s="248"/>
      <c r="C591" s="248"/>
      <c r="K591" s="248"/>
    </row>
    <row r="592" spans="1:11" x14ac:dyDescent="0.25">
      <c r="A592" s="115"/>
      <c r="B592" s="248"/>
      <c r="C592" s="248"/>
      <c r="K592" s="248"/>
    </row>
    <row r="593" spans="1:11" x14ac:dyDescent="0.25">
      <c r="A593" s="115"/>
      <c r="B593" s="248"/>
      <c r="C593" s="248"/>
      <c r="K593" s="248"/>
    </row>
    <row r="594" spans="1:11" x14ac:dyDescent="0.25">
      <c r="A594" s="115"/>
      <c r="B594" s="248"/>
      <c r="C594" s="248"/>
      <c r="K594" s="248"/>
    </row>
    <row r="595" spans="1:11" x14ac:dyDescent="0.25">
      <c r="A595" s="115"/>
      <c r="B595" s="248"/>
      <c r="C595" s="248"/>
      <c r="K595" s="248"/>
    </row>
    <row r="596" spans="1:11" x14ac:dyDescent="0.25">
      <c r="A596" s="115"/>
      <c r="B596" s="248"/>
      <c r="C596" s="248"/>
      <c r="K596" s="248"/>
    </row>
    <row r="597" spans="1:11" x14ac:dyDescent="0.25">
      <c r="A597" s="115"/>
      <c r="B597" s="248"/>
      <c r="C597" s="248"/>
      <c r="K597" s="248"/>
    </row>
    <row r="598" spans="1:11" x14ac:dyDescent="0.25">
      <c r="A598" s="115"/>
      <c r="B598" s="248"/>
      <c r="C598" s="248"/>
      <c r="K598" s="248"/>
    </row>
    <row r="599" spans="1:11" x14ac:dyDescent="0.25">
      <c r="A599" s="115"/>
      <c r="B599" s="248"/>
      <c r="C599" s="248"/>
      <c r="K599" s="248"/>
    </row>
    <row r="600" spans="1:11" x14ac:dyDescent="0.25">
      <c r="A600" s="115"/>
      <c r="B600" s="248"/>
      <c r="C600" s="248"/>
      <c r="K600" s="248"/>
    </row>
    <row r="601" spans="1:11" x14ac:dyDescent="0.25">
      <c r="A601" s="115"/>
      <c r="B601" s="248"/>
      <c r="C601" s="248"/>
      <c r="K601" s="248"/>
    </row>
    <row r="602" spans="1:11" x14ac:dyDescent="0.25">
      <c r="A602" s="115"/>
      <c r="B602" s="248"/>
      <c r="C602" s="248"/>
      <c r="K602" s="248"/>
    </row>
    <row r="603" spans="1:11" x14ac:dyDescent="0.25">
      <c r="A603" s="115"/>
      <c r="B603" s="248"/>
      <c r="C603" s="248"/>
      <c r="K603" s="248"/>
    </row>
    <row r="604" spans="1:11" x14ac:dyDescent="0.25">
      <c r="A604" s="115"/>
      <c r="B604" s="248"/>
      <c r="C604" s="248"/>
      <c r="K604" s="248"/>
    </row>
    <row r="605" spans="1:11" x14ac:dyDescent="0.25">
      <c r="A605" s="115"/>
      <c r="B605" s="248"/>
      <c r="C605" s="248"/>
      <c r="K605" s="248"/>
    </row>
    <row r="606" spans="1:11" x14ac:dyDescent="0.25">
      <c r="A606" s="115"/>
      <c r="B606" s="248"/>
      <c r="C606" s="248"/>
      <c r="K606" s="248"/>
    </row>
    <row r="607" spans="1:11" x14ac:dyDescent="0.25">
      <c r="A607" s="115"/>
      <c r="B607" s="248"/>
      <c r="C607" s="248"/>
      <c r="K607" s="248"/>
    </row>
    <row r="608" spans="1:11" x14ac:dyDescent="0.25">
      <c r="A608" s="115"/>
      <c r="B608" s="248"/>
      <c r="C608" s="248"/>
      <c r="K608" s="248"/>
    </row>
    <row r="609" spans="1:11" x14ac:dyDescent="0.25">
      <c r="A609" s="115"/>
      <c r="B609" s="248"/>
      <c r="C609" s="248"/>
      <c r="K609" s="248"/>
    </row>
    <row r="610" spans="1:11" x14ac:dyDescent="0.25">
      <c r="A610" s="115"/>
      <c r="B610" s="248"/>
      <c r="C610" s="248"/>
      <c r="K610" s="248"/>
    </row>
    <row r="611" spans="1:11" x14ac:dyDescent="0.25">
      <c r="A611" s="115"/>
      <c r="B611" s="248"/>
      <c r="C611" s="248"/>
      <c r="K611" s="248"/>
    </row>
    <row r="612" spans="1:11" x14ac:dyDescent="0.25">
      <c r="A612" s="115"/>
      <c r="B612" s="248"/>
      <c r="C612" s="248"/>
      <c r="K612" s="248"/>
    </row>
    <row r="613" spans="1:11" x14ac:dyDescent="0.25">
      <c r="A613" s="115"/>
      <c r="B613" s="248"/>
      <c r="C613" s="248"/>
      <c r="K613" s="248"/>
    </row>
    <row r="614" spans="1:11" x14ac:dyDescent="0.25">
      <c r="A614" s="115"/>
      <c r="B614" s="248"/>
      <c r="C614" s="248"/>
      <c r="K614" s="248"/>
    </row>
    <row r="615" spans="1:11" x14ac:dyDescent="0.25">
      <c r="A615" s="115"/>
      <c r="B615" s="248"/>
      <c r="C615" s="248"/>
      <c r="K615" s="248"/>
    </row>
    <row r="616" spans="1:11" x14ac:dyDescent="0.25">
      <c r="A616" s="115"/>
      <c r="B616" s="248"/>
      <c r="C616" s="248"/>
      <c r="K616" s="248"/>
    </row>
    <row r="617" spans="1:11" x14ac:dyDescent="0.25">
      <c r="A617" s="115"/>
      <c r="B617" s="248"/>
      <c r="C617" s="248"/>
      <c r="K617" s="248"/>
    </row>
    <row r="618" spans="1:11" x14ac:dyDescent="0.25">
      <c r="A618" s="115"/>
      <c r="B618" s="248"/>
      <c r="C618" s="248"/>
      <c r="K618" s="248"/>
    </row>
    <row r="619" spans="1:11" x14ac:dyDescent="0.25">
      <c r="A619" s="115"/>
      <c r="B619" s="248"/>
      <c r="C619" s="248"/>
      <c r="K619" s="248"/>
    </row>
    <row r="620" spans="1:11" x14ac:dyDescent="0.25">
      <c r="A620" s="115"/>
      <c r="B620" s="248"/>
      <c r="C620" s="248"/>
      <c r="K620" s="248"/>
    </row>
    <row r="621" spans="1:11" x14ac:dyDescent="0.25">
      <c r="A621" s="115"/>
      <c r="B621" s="248"/>
      <c r="C621" s="248"/>
      <c r="K621" s="248"/>
    </row>
    <row r="622" spans="1:11" x14ac:dyDescent="0.25">
      <c r="A622" s="115"/>
      <c r="B622" s="248"/>
      <c r="C622" s="248"/>
      <c r="K622" s="248"/>
    </row>
    <row r="623" spans="1:11" x14ac:dyDescent="0.25">
      <c r="A623" s="115"/>
      <c r="B623" s="248"/>
      <c r="C623" s="248"/>
      <c r="K623" s="248"/>
    </row>
    <row r="624" spans="1:11" x14ac:dyDescent="0.25">
      <c r="A624" s="115"/>
      <c r="B624" s="248"/>
      <c r="C624" s="248"/>
      <c r="K624" s="248"/>
    </row>
    <row r="625" spans="1:11" x14ac:dyDescent="0.25">
      <c r="A625" s="115"/>
      <c r="B625" s="248"/>
      <c r="C625" s="248"/>
      <c r="K625" s="248"/>
    </row>
    <row r="626" spans="1:11" x14ac:dyDescent="0.25">
      <c r="A626" s="115"/>
      <c r="B626" s="248"/>
      <c r="C626" s="248"/>
      <c r="K626" s="248"/>
    </row>
    <row r="627" spans="1:11" x14ac:dyDescent="0.25">
      <c r="A627" s="115"/>
      <c r="B627" s="248"/>
      <c r="C627" s="248"/>
      <c r="K627" s="248"/>
    </row>
    <row r="628" spans="1:11" x14ac:dyDescent="0.25">
      <c r="A628" s="115"/>
      <c r="B628" s="248"/>
      <c r="C628" s="248"/>
      <c r="K628" s="248"/>
    </row>
    <row r="629" spans="1:11" x14ac:dyDescent="0.25">
      <c r="A629" s="115"/>
      <c r="B629" s="248"/>
      <c r="C629" s="248"/>
      <c r="K629" s="248"/>
    </row>
    <row r="630" spans="1:11" x14ac:dyDescent="0.25">
      <c r="A630" s="115"/>
      <c r="B630" s="248"/>
      <c r="C630" s="248"/>
      <c r="K630" s="248"/>
    </row>
    <row r="631" spans="1:11" x14ac:dyDescent="0.25">
      <c r="A631" s="115"/>
      <c r="B631" s="248"/>
      <c r="C631" s="248"/>
      <c r="K631" s="248"/>
    </row>
    <row r="632" spans="1:11" x14ac:dyDescent="0.25">
      <c r="A632" s="115"/>
      <c r="B632" s="248"/>
      <c r="C632" s="248"/>
      <c r="K632" s="248"/>
    </row>
    <row r="633" spans="1:11" x14ac:dyDescent="0.25">
      <c r="A633" s="115"/>
      <c r="B633" s="248"/>
      <c r="C633" s="248"/>
      <c r="K633" s="248"/>
    </row>
    <row r="634" spans="1:11" x14ac:dyDescent="0.25">
      <c r="A634" s="115"/>
      <c r="B634" s="248"/>
      <c r="C634" s="248"/>
      <c r="K634" s="248"/>
    </row>
    <row r="635" spans="1:11" x14ac:dyDescent="0.25">
      <c r="A635" s="115"/>
      <c r="B635" s="248"/>
      <c r="C635" s="248"/>
      <c r="K635" s="248"/>
    </row>
    <row r="636" spans="1:11" x14ac:dyDescent="0.25">
      <c r="A636" s="115"/>
      <c r="B636" s="248"/>
      <c r="C636" s="248"/>
      <c r="K636" s="248"/>
    </row>
    <row r="637" spans="1:11" x14ac:dyDescent="0.25">
      <c r="A637" s="115"/>
      <c r="B637" s="248"/>
      <c r="C637" s="248"/>
      <c r="K637" s="248"/>
    </row>
    <row r="638" spans="1:11" x14ac:dyDescent="0.25">
      <c r="A638" s="115"/>
      <c r="B638" s="248"/>
      <c r="C638" s="248"/>
      <c r="K638" s="248"/>
    </row>
    <row r="639" spans="1:11" x14ac:dyDescent="0.25">
      <c r="A639" s="115"/>
      <c r="B639" s="248"/>
      <c r="C639" s="248"/>
      <c r="K639" s="248"/>
    </row>
    <row r="640" spans="1:11" x14ac:dyDescent="0.25">
      <c r="A640" s="115"/>
      <c r="B640" s="248"/>
      <c r="C640" s="248"/>
      <c r="K640" s="248"/>
    </row>
    <row r="641" spans="1:11" x14ac:dyDescent="0.25">
      <c r="A641" s="115"/>
      <c r="B641" s="248"/>
      <c r="C641" s="248"/>
      <c r="K641" s="248"/>
    </row>
    <row r="642" spans="1:11" x14ac:dyDescent="0.25">
      <c r="A642" s="115"/>
      <c r="B642" s="248"/>
      <c r="C642" s="248"/>
      <c r="K642" s="248"/>
    </row>
    <row r="643" spans="1:11" x14ac:dyDescent="0.25">
      <c r="A643" s="115"/>
      <c r="B643" s="248"/>
      <c r="C643" s="248"/>
      <c r="K643" s="248"/>
    </row>
    <row r="644" spans="1:11" x14ac:dyDescent="0.25">
      <c r="A644" s="115"/>
      <c r="B644" s="248"/>
      <c r="C644" s="248"/>
      <c r="K644" s="248"/>
    </row>
    <row r="645" spans="1:11" x14ac:dyDescent="0.25">
      <c r="A645" s="115"/>
      <c r="B645" s="248"/>
      <c r="C645" s="248"/>
      <c r="K645" s="248"/>
    </row>
    <row r="646" spans="1:11" x14ac:dyDescent="0.25">
      <c r="A646" s="115"/>
      <c r="B646" s="248"/>
      <c r="C646" s="248"/>
      <c r="K646" s="248"/>
    </row>
    <row r="647" spans="1:11" x14ac:dyDescent="0.25">
      <c r="A647" s="115"/>
      <c r="B647" s="248"/>
      <c r="C647" s="248"/>
      <c r="K647" s="248"/>
    </row>
    <row r="648" spans="1:11" x14ac:dyDescent="0.25">
      <c r="A648" s="115"/>
      <c r="B648" s="248"/>
      <c r="C648" s="248"/>
      <c r="K648" s="248"/>
    </row>
    <row r="649" spans="1:11" x14ac:dyDescent="0.25">
      <c r="A649" s="115"/>
      <c r="B649" s="248"/>
      <c r="C649" s="248"/>
      <c r="K649" s="248"/>
    </row>
    <row r="650" spans="1:11" x14ac:dyDescent="0.25">
      <c r="A650" s="115"/>
      <c r="B650" s="248"/>
      <c r="C650" s="248"/>
      <c r="K650" s="248"/>
    </row>
    <row r="651" spans="1:11" x14ac:dyDescent="0.25">
      <c r="A651" s="115"/>
      <c r="B651" s="248"/>
      <c r="C651" s="248"/>
      <c r="K651" s="248"/>
    </row>
    <row r="652" spans="1:11" x14ac:dyDescent="0.25">
      <c r="A652" s="115"/>
      <c r="B652" s="248"/>
      <c r="C652" s="248"/>
      <c r="K652" s="248"/>
    </row>
    <row r="653" spans="1:11" x14ac:dyDescent="0.25">
      <c r="A653" s="115"/>
      <c r="B653" s="248"/>
      <c r="C653" s="248"/>
      <c r="K653" s="248"/>
    </row>
    <row r="654" spans="1:11" x14ac:dyDescent="0.25">
      <c r="A654" s="115"/>
      <c r="B654" s="248"/>
      <c r="C654" s="248"/>
      <c r="K654" s="248"/>
    </row>
    <row r="655" spans="1:11" x14ac:dyDescent="0.25">
      <c r="A655" s="115"/>
      <c r="B655" s="248"/>
      <c r="C655" s="248"/>
      <c r="K655" s="248"/>
    </row>
    <row r="656" spans="1:11" x14ac:dyDescent="0.25">
      <c r="A656" s="115"/>
      <c r="B656" s="248"/>
      <c r="C656" s="248"/>
      <c r="K656" s="248"/>
    </row>
    <row r="657" spans="1:11" x14ac:dyDescent="0.25">
      <c r="A657" s="115"/>
      <c r="B657" s="248"/>
      <c r="C657" s="248"/>
      <c r="K657" s="248"/>
    </row>
    <row r="658" spans="1:11" x14ac:dyDescent="0.25">
      <c r="A658" s="115"/>
      <c r="B658" s="248"/>
      <c r="C658" s="248"/>
      <c r="K658" s="248"/>
    </row>
    <row r="659" spans="1:11" x14ac:dyDescent="0.25">
      <c r="A659" s="115"/>
      <c r="B659" s="248"/>
      <c r="C659" s="248"/>
      <c r="K659" s="248"/>
    </row>
    <row r="660" spans="1:11" x14ac:dyDescent="0.25">
      <c r="A660" s="115"/>
      <c r="B660" s="248"/>
      <c r="C660" s="248"/>
      <c r="K660" s="248"/>
    </row>
    <row r="661" spans="1:11" x14ac:dyDescent="0.25">
      <c r="A661" s="115"/>
      <c r="B661" s="248"/>
      <c r="C661" s="248"/>
      <c r="K661" s="248"/>
    </row>
    <row r="662" spans="1:11" x14ac:dyDescent="0.25">
      <c r="A662" s="115"/>
      <c r="B662" s="248"/>
      <c r="C662" s="248"/>
      <c r="K662" s="248"/>
    </row>
    <row r="663" spans="1:11" x14ac:dyDescent="0.25">
      <c r="A663" s="115"/>
      <c r="B663" s="248"/>
      <c r="C663" s="248"/>
      <c r="K663" s="248"/>
    </row>
    <row r="664" spans="1:11" x14ac:dyDescent="0.25">
      <c r="A664" s="115"/>
      <c r="B664" s="248"/>
      <c r="C664" s="248"/>
      <c r="K664" s="248"/>
    </row>
    <row r="665" spans="1:11" x14ac:dyDescent="0.25">
      <c r="A665" s="115"/>
      <c r="B665" s="248"/>
      <c r="C665" s="248"/>
      <c r="K665" s="248"/>
    </row>
    <row r="666" spans="1:11" x14ac:dyDescent="0.25">
      <c r="A666" s="115"/>
      <c r="B666" s="248"/>
      <c r="C666" s="248"/>
      <c r="K666" s="248"/>
    </row>
    <row r="667" spans="1:11" x14ac:dyDescent="0.25">
      <c r="A667" s="115"/>
      <c r="B667" s="248"/>
      <c r="C667" s="248"/>
      <c r="K667" s="248"/>
    </row>
    <row r="668" spans="1:11" x14ac:dyDescent="0.25">
      <c r="A668" s="115"/>
      <c r="B668" s="248"/>
      <c r="C668" s="248"/>
      <c r="K668" s="248"/>
    </row>
    <row r="669" spans="1:11" x14ac:dyDescent="0.25">
      <c r="A669" s="115"/>
      <c r="B669" s="248"/>
      <c r="C669" s="248"/>
      <c r="K669" s="248"/>
    </row>
    <row r="670" spans="1:11" x14ac:dyDescent="0.25">
      <c r="A670" s="115"/>
      <c r="B670" s="248"/>
      <c r="C670" s="248"/>
      <c r="K670" s="248"/>
    </row>
    <row r="671" spans="1:11" x14ac:dyDescent="0.25">
      <c r="A671" s="115"/>
      <c r="B671" s="248"/>
      <c r="C671" s="248"/>
      <c r="K671" s="248"/>
    </row>
    <row r="672" spans="1:11" x14ac:dyDescent="0.25">
      <c r="A672" s="115"/>
      <c r="B672" s="248"/>
      <c r="C672" s="248"/>
      <c r="K672" s="248"/>
    </row>
    <row r="673" spans="1:11" x14ac:dyDescent="0.25">
      <c r="A673" s="115"/>
      <c r="B673" s="248"/>
      <c r="C673" s="248"/>
      <c r="K673" s="248"/>
    </row>
    <row r="674" spans="1:11" x14ac:dyDescent="0.25">
      <c r="A674" s="115"/>
      <c r="B674" s="248"/>
      <c r="C674" s="248"/>
      <c r="K674" s="248"/>
    </row>
    <row r="675" spans="1:11" x14ac:dyDescent="0.25">
      <c r="A675" s="115"/>
      <c r="B675" s="248"/>
      <c r="C675" s="248"/>
      <c r="K675" s="248"/>
    </row>
    <row r="676" spans="1:11" x14ac:dyDescent="0.25">
      <c r="A676" s="115"/>
      <c r="B676" s="248"/>
      <c r="C676" s="248"/>
      <c r="K676" s="248"/>
    </row>
    <row r="677" spans="1:11" x14ac:dyDescent="0.25">
      <c r="A677" s="115"/>
      <c r="B677" s="248"/>
      <c r="C677" s="248"/>
      <c r="K677" s="248"/>
    </row>
    <row r="678" spans="1:11" x14ac:dyDescent="0.25">
      <c r="A678" s="115"/>
      <c r="B678" s="248"/>
      <c r="C678" s="248"/>
      <c r="K678" s="248"/>
    </row>
    <row r="679" spans="1:11" x14ac:dyDescent="0.25">
      <c r="A679" s="115"/>
      <c r="B679" s="248"/>
      <c r="C679" s="248"/>
      <c r="K679" s="248"/>
    </row>
    <row r="680" spans="1:11" x14ac:dyDescent="0.25">
      <c r="A680" s="115"/>
      <c r="B680" s="248"/>
      <c r="C680" s="248"/>
      <c r="K680" s="248"/>
    </row>
    <row r="681" spans="1:11" x14ac:dyDescent="0.25">
      <c r="A681" s="115"/>
      <c r="B681" s="248"/>
      <c r="C681" s="248"/>
      <c r="K681" s="248"/>
    </row>
    <row r="682" spans="1:11" x14ac:dyDescent="0.25">
      <c r="A682" s="115"/>
      <c r="B682" s="248"/>
      <c r="C682" s="248"/>
      <c r="K682" s="248"/>
    </row>
    <row r="683" spans="1:11" x14ac:dyDescent="0.25">
      <c r="A683" s="115"/>
      <c r="B683" s="248"/>
      <c r="C683" s="248"/>
      <c r="K683" s="248"/>
    </row>
    <row r="684" spans="1:11" x14ac:dyDescent="0.25">
      <c r="A684" s="115"/>
      <c r="B684" s="248"/>
      <c r="C684" s="248"/>
      <c r="K684" s="248"/>
    </row>
    <row r="685" spans="1:11" x14ac:dyDescent="0.25">
      <c r="A685" s="115"/>
      <c r="B685" s="248"/>
      <c r="C685" s="248"/>
      <c r="K685" s="248"/>
    </row>
    <row r="686" spans="1:11" x14ac:dyDescent="0.25">
      <c r="A686" s="115"/>
      <c r="B686" s="248"/>
      <c r="C686" s="248"/>
      <c r="K686" s="248"/>
    </row>
    <row r="687" spans="1:11" x14ac:dyDescent="0.25">
      <c r="A687" s="115"/>
      <c r="B687" s="248"/>
      <c r="C687" s="248"/>
      <c r="K687" s="248"/>
    </row>
    <row r="688" spans="1:11" x14ac:dyDescent="0.25">
      <c r="A688" s="115"/>
      <c r="B688" s="248"/>
      <c r="C688" s="248"/>
      <c r="K688" s="248"/>
    </row>
    <row r="689" spans="1:11" x14ac:dyDescent="0.25">
      <c r="A689" s="115"/>
      <c r="B689" s="248"/>
      <c r="C689" s="248"/>
      <c r="K689" s="248"/>
    </row>
    <row r="690" spans="1:11" x14ac:dyDescent="0.25">
      <c r="A690" s="115"/>
      <c r="B690" s="248"/>
      <c r="C690" s="248"/>
      <c r="K690" s="248"/>
    </row>
    <row r="691" spans="1:11" x14ac:dyDescent="0.25">
      <c r="A691" s="115"/>
      <c r="B691" s="248"/>
      <c r="C691" s="248"/>
      <c r="K691" s="248"/>
    </row>
    <row r="692" spans="1:11" x14ac:dyDescent="0.25">
      <c r="A692" s="115"/>
      <c r="B692" s="248"/>
      <c r="C692" s="248"/>
      <c r="K692" s="248"/>
    </row>
    <row r="693" spans="1:11" x14ac:dyDescent="0.25">
      <c r="A693" s="115"/>
      <c r="B693" s="248"/>
      <c r="C693" s="248"/>
      <c r="K693" s="248"/>
    </row>
    <row r="694" spans="1:11" x14ac:dyDescent="0.25">
      <c r="A694" s="115"/>
      <c r="B694" s="248"/>
      <c r="C694" s="248"/>
      <c r="K694" s="248"/>
    </row>
    <row r="695" spans="1:11" x14ac:dyDescent="0.25">
      <c r="A695" s="115"/>
      <c r="B695" s="248"/>
      <c r="C695" s="248"/>
      <c r="K695" s="248"/>
    </row>
    <row r="696" spans="1:11" x14ac:dyDescent="0.25">
      <c r="A696" s="115"/>
      <c r="B696" s="248"/>
      <c r="C696" s="248"/>
      <c r="K696" s="248"/>
    </row>
    <row r="697" spans="1:11" x14ac:dyDescent="0.25">
      <c r="A697" s="115"/>
      <c r="B697" s="248"/>
      <c r="C697" s="248"/>
      <c r="K697" s="248"/>
    </row>
    <row r="698" spans="1:11" x14ac:dyDescent="0.25">
      <c r="A698" s="115"/>
      <c r="B698" s="248"/>
      <c r="C698" s="248"/>
      <c r="K698" s="248"/>
    </row>
    <row r="699" spans="1:11" x14ac:dyDescent="0.25">
      <c r="A699" s="115"/>
      <c r="B699" s="248"/>
      <c r="C699" s="248"/>
      <c r="K699" s="248"/>
    </row>
    <row r="700" spans="1:11" x14ac:dyDescent="0.25">
      <c r="A700" s="115"/>
      <c r="B700" s="248"/>
      <c r="C700" s="248"/>
      <c r="K700" s="248"/>
    </row>
    <row r="701" spans="1:11" x14ac:dyDescent="0.25">
      <c r="A701" s="115"/>
      <c r="B701" s="248"/>
      <c r="C701" s="248"/>
      <c r="K701" s="248"/>
    </row>
    <row r="702" spans="1:11" x14ac:dyDescent="0.25">
      <c r="A702" s="115"/>
      <c r="B702" s="248"/>
      <c r="C702" s="248"/>
      <c r="K702" s="248"/>
    </row>
    <row r="703" spans="1:11" x14ac:dyDescent="0.25">
      <c r="A703" s="115"/>
      <c r="B703" s="248"/>
      <c r="C703" s="248"/>
      <c r="K703" s="248"/>
    </row>
    <row r="704" spans="1:11" x14ac:dyDescent="0.25">
      <c r="A704" s="115"/>
      <c r="B704" s="248"/>
      <c r="C704" s="248"/>
      <c r="K704" s="248"/>
    </row>
    <row r="705" spans="1:11" x14ac:dyDescent="0.25">
      <c r="A705" s="115"/>
      <c r="B705" s="248"/>
      <c r="C705" s="248"/>
      <c r="K705" s="248"/>
    </row>
    <row r="706" spans="1:11" x14ac:dyDescent="0.25">
      <c r="A706" s="115"/>
      <c r="B706" s="248"/>
      <c r="C706" s="248"/>
      <c r="K706" s="248"/>
    </row>
    <row r="707" spans="1:11" x14ac:dyDescent="0.25">
      <c r="A707" s="115"/>
      <c r="B707" s="248"/>
      <c r="C707" s="248"/>
      <c r="K707" s="248"/>
    </row>
    <row r="708" spans="1:11" x14ac:dyDescent="0.25">
      <c r="A708" s="115"/>
      <c r="B708" s="248"/>
      <c r="C708" s="248"/>
      <c r="K708" s="248"/>
    </row>
    <row r="709" spans="1:11" x14ac:dyDescent="0.25">
      <c r="A709" s="115"/>
      <c r="B709" s="248"/>
      <c r="C709" s="248"/>
      <c r="K709" s="248"/>
    </row>
    <row r="710" spans="1:11" x14ac:dyDescent="0.25">
      <c r="A710" s="115"/>
      <c r="B710" s="248"/>
      <c r="C710" s="248"/>
      <c r="K710" s="248"/>
    </row>
    <row r="711" spans="1:11" x14ac:dyDescent="0.25">
      <c r="A711" s="115"/>
      <c r="B711" s="248"/>
      <c r="C711" s="248"/>
      <c r="K711" s="248"/>
    </row>
    <row r="712" spans="1:11" x14ac:dyDescent="0.25">
      <c r="A712" s="115"/>
      <c r="B712" s="248"/>
      <c r="C712" s="248"/>
      <c r="K712" s="248"/>
    </row>
    <row r="713" spans="1:11" x14ac:dyDescent="0.25">
      <c r="A713" s="115"/>
      <c r="B713" s="248"/>
      <c r="C713" s="248"/>
      <c r="K713" s="248"/>
    </row>
    <row r="714" spans="1:11" x14ac:dyDescent="0.25">
      <c r="A714" s="115"/>
      <c r="B714" s="248"/>
      <c r="C714" s="248"/>
      <c r="K714" s="248"/>
    </row>
    <row r="715" spans="1:11" x14ac:dyDescent="0.25">
      <c r="A715" s="115"/>
      <c r="B715" s="248"/>
      <c r="C715" s="248"/>
      <c r="K715" s="248"/>
    </row>
    <row r="716" spans="1:11" x14ac:dyDescent="0.25">
      <c r="A716" s="115"/>
      <c r="B716" s="248"/>
      <c r="C716" s="248"/>
      <c r="K716" s="248"/>
    </row>
    <row r="717" spans="1:11" x14ac:dyDescent="0.25">
      <c r="A717" s="115"/>
      <c r="B717" s="248"/>
      <c r="C717" s="248"/>
      <c r="K717" s="248"/>
    </row>
    <row r="718" spans="1:11" x14ac:dyDescent="0.25">
      <c r="A718" s="115"/>
      <c r="B718" s="248"/>
      <c r="C718" s="248"/>
      <c r="K718" s="248"/>
    </row>
    <row r="719" spans="1:11" x14ac:dyDescent="0.25">
      <c r="A719" s="115"/>
      <c r="B719" s="248"/>
      <c r="C719" s="248"/>
      <c r="K719" s="248"/>
    </row>
    <row r="720" spans="1:11" x14ac:dyDescent="0.25">
      <c r="A720" s="115"/>
      <c r="B720" s="248"/>
      <c r="C720" s="248"/>
      <c r="K720" s="248"/>
    </row>
    <row r="721" spans="1:11" x14ac:dyDescent="0.25">
      <c r="A721" s="115"/>
      <c r="B721" s="248"/>
      <c r="C721" s="248"/>
      <c r="K721" s="248"/>
    </row>
    <row r="722" spans="1:11" x14ac:dyDescent="0.25">
      <c r="A722" s="115"/>
      <c r="B722" s="248"/>
      <c r="C722" s="248"/>
      <c r="K722" s="248"/>
    </row>
    <row r="723" spans="1:11" x14ac:dyDescent="0.25">
      <c r="A723" s="115"/>
      <c r="B723" s="248"/>
      <c r="C723" s="248"/>
      <c r="K723" s="248"/>
    </row>
    <row r="724" spans="1:11" x14ac:dyDescent="0.25">
      <c r="A724" s="115"/>
      <c r="B724" s="248"/>
      <c r="C724" s="248"/>
      <c r="K724" s="248"/>
    </row>
    <row r="725" spans="1:11" x14ac:dyDescent="0.25">
      <c r="A725" s="115"/>
      <c r="B725" s="248"/>
      <c r="C725" s="248"/>
      <c r="K725" s="248"/>
    </row>
    <row r="726" spans="1:11" x14ac:dyDescent="0.25">
      <c r="A726" s="115"/>
      <c r="B726" s="248"/>
      <c r="C726" s="248"/>
      <c r="K726" s="248"/>
    </row>
    <row r="727" spans="1:11" x14ac:dyDescent="0.25">
      <c r="A727" s="115"/>
      <c r="B727" s="248"/>
      <c r="C727" s="248"/>
      <c r="K727" s="248"/>
    </row>
    <row r="728" spans="1:11" x14ac:dyDescent="0.25">
      <c r="A728" s="115"/>
      <c r="B728" s="248"/>
      <c r="C728" s="248"/>
      <c r="K728" s="248"/>
    </row>
    <row r="729" spans="1:11" x14ac:dyDescent="0.25">
      <c r="A729" s="115"/>
      <c r="B729" s="248"/>
      <c r="C729" s="248"/>
      <c r="K729" s="248"/>
    </row>
    <row r="730" spans="1:11" x14ac:dyDescent="0.25">
      <c r="A730" s="115"/>
      <c r="B730" s="248"/>
      <c r="C730" s="248"/>
      <c r="K730" s="248"/>
    </row>
    <row r="731" spans="1:11" x14ac:dyDescent="0.25">
      <c r="A731" s="115"/>
      <c r="B731" s="248"/>
      <c r="C731" s="248"/>
      <c r="K731" s="248"/>
    </row>
    <row r="732" spans="1:11" x14ac:dyDescent="0.25">
      <c r="A732" s="115"/>
      <c r="B732" s="248"/>
      <c r="C732" s="248"/>
      <c r="K732" s="248"/>
    </row>
    <row r="733" spans="1:11" x14ac:dyDescent="0.25">
      <c r="A733" s="115"/>
      <c r="B733" s="248"/>
      <c r="C733" s="248"/>
      <c r="K733" s="248"/>
    </row>
    <row r="734" spans="1:11" x14ac:dyDescent="0.25">
      <c r="A734" s="115"/>
      <c r="B734" s="248"/>
      <c r="C734" s="248"/>
      <c r="K734" s="248"/>
    </row>
    <row r="735" spans="1:11" x14ac:dyDescent="0.25">
      <c r="A735" s="115"/>
      <c r="B735" s="248"/>
      <c r="C735" s="248"/>
      <c r="K735" s="248"/>
    </row>
    <row r="736" spans="1:11" x14ac:dyDescent="0.25">
      <c r="A736" s="115"/>
      <c r="B736" s="248"/>
      <c r="C736" s="248"/>
      <c r="K736" s="248"/>
    </row>
    <row r="737" spans="1:11" x14ac:dyDescent="0.25">
      <c r="A737" s="115"/>
      <c r="B737" s="248"/>
      <c r="C737" s="248"/>
      <c r="K737" s="248"/>
    </row>
    <row r="738" spans="1:11" x14ac:dyDescent="0.25">
      <c r="A738" s="115"/>
      <c r="B738" s="248"/>
      <c r="C738" s="248"/>
      <c r="K738" s="248"/>
    </row>
    <row r="739" spans="1:11" x14ac:dyDescent="0.25">
      <c r="A739" s="115"/>
      <c r="B739" s="248"/>
      <c r="C739" s="248"/>
      <c r="K739" s="248"/>
    </row>
    <row r="740" spans="1:11" x14ac:dyDescent="0.25">
      <c r="A740" s="115"/>
      <c r="B740" s="248"/>
      <c r="C740" s="248"/>
      <c r="K740" s="248"/>
    </row>
    <row r="741" spans="1:11" x14ac:dyDescent="0.25">
      <c r="A741" s="115"/>
      <c r="B741" s="248"/>
      <c r="C741" s="248"/>
      <c r="K741" s="248"/>
    </row>
    <row r="742" spans="1:11" x14ac:dyDescent="0.25">
      <c r="A742" s="115"/>
      <c r="B742" s="248"/>
      <c r="C742" s="248"/>
      <c r="K742" s="248"/>
    </row>
    <row r="743" spans="1:11" x14ac:dyDescent="0.25">
      <c r="A743" s="115"/>
      <c r="B743" s="248"/>
      <c r="C743" s="248"/>
      <c r="K743" s="248"/>
    </row>
    <row r="744" spans="1:11" x14ac:dyDescent="0.25">
      <c r="A744" s="115"/>
      <c r="B744" s="248"/>
      <c r="C744" s="248"/>
      <c r="K744" s="248"/>
    </row>
    <row r="745" spans="1:11" x14ac:dyDescent="0.25">
      <c r="A745" s="115"/>
      <c r="B745" s="248"/>
      <c r="C745" s="248"/>
      <c r="K745" s="248"/>
    </row>
    <row r="746" spans="1:11" x14ac:dyDescent="0.25">
      <c r="A746" s="115"/>
      <c r="B746" s="248"/>
      <c r="C746" s="248"/>
      <c r="K746" s="248"/>
    </row>
    <row r="747" spans="1:11" x14ac:dyDescent="0.25">
      <c r="A747" s="115"/>
      <c r="B747" s="248"/>
      <c r="C747" s="248"/>
      <c r="K747" s="248"/>
    </row>
    <row r="748" spans="1:11" x14ac:dyDescent="0.25">
      <c r="A748" s="115"/>
      <c r="B748" s="248"/>
      <c r="C748" s="248"/>
      <c r="K748" s="248"/>
    </row>
    <row r="749" spans="1:11" x14ac:dyDescent="0.25">
      <c r="A749" s="115"/>
      <c r="B749" s="248"/>
      <c r="C749" s="248"/>
      <c r="K749" s="248"/>
    </row>
    <row r="750" spans="1:11" x14ac:dyDescent="0.25">
      <c r="A750" s="115"/>
      <c r="B750" s="248"/>
      <c r="C750" s="248"/>
      <c r="K750" s="248"/>
    </row>
    <row r="751" spans="1:11" x14ac:dyDescent="0.25">
      <c r="A751" s="115"/>
      <c r="B751" s="248"/>
      <c r="C751" s="248"/>
      <c r="K751" s="248"/>
    </row>
    <row r="752" spans="1:11" x14ac:dyDescent="0.25">
      <c r="A752" s="115"/>
      <c r="B752" s="248"/>
      <c r="C752" s="248"/>
      <c r="K752" s="248"/>
    </row>
    <row r="753" spans="1:11" x14ac:dyDescent="0.25">
      <c r="A753" s="115"/>
      <c r="B753" s="248"/>
      <c r="C753" s="248"/>
      <c r="K753" s="248"/>
    </row>
    <row r="754" spans="1:11" x14ac:dyDescent="0.25">
      <c r="A754" s="115"/>
      <c r="B754" s="248"/>
      <c r="C754" s="248"/>
      <c r="K754" s="248"/>
    </row>
    <row r="755" spans="1:11" x14ac:dyDescent="0.25">
      <c r="A755" s="115"/>
      <c r="B755" s="248"/>
      <c r="C755" s="248"/>
      <c r="K755" s="248"/>
    </row>
    <row r="756" spans="1:11" x14ac:dyDescent="0.25">
      <c r="A756" s="115"/>
      <c r="B756" s="248"/>
      <c r="C756" s="248"/>
      <c r="K756" s="248"/>
    </row>
    <row r="757" spans="1:11" x14ac:dyDescent="0.25">
      <c r="A757" s="115"/>
      <c r="B757" s="248"/>
      <c r="C757" s="248"/>
      <c r="K757" s="248"/>
    </row>
    <row r="758" spans="1:11" x14ac:dyDescent="0.25">
      <c r="A758" s="115"/>
      <c r="B758" s="248"/>
      <c r="C758" s="248"/>
      <c r="K758" s="248"/>
    </row>
    <row r="759" spans="1:11" x14ac:dyDescent="0.25">
      <c r="A759" s="115"/>
      <c r="B759" s="248"/>
      <c r="C759" s="248"/>
      <c r="K759" s="248"/>
    </row>
    <row r="760" spans="1:11" x14ac:dyDescent="0.25">
      <c r="A760" s="115"/>
      <c r="B760" s="248"/>
      <c r="C760" s="248"/>
      <c r="K760" s="248"/>
    </row>
    <row r="761" spans="1:11" x14ac:dyDescent="0.25">
      <c r="A761" s="115"/>
      <c r="B761" s="248"/>
      <c r="C761" s="248"/>
      <c r="K761" s="248"/>
    </row>
    <row r="762" spans="1:11" x14ac:dyDescent="0.25">
      <c r="A762" s="115"/>
      <c r="B762" s="248"/>
      <c r="C762" s="248"/>
      <c r="K762" s="248"/>
    </row>
    <row r="763" spans="1:11" x14ac:dyDescent="0.25">
      <c r="A763" s="115"/>
      <c r="B763" s="248"/>
      <c r="C763" s="248"/>
      <c r="K763" s="248"/>
    </row>
    <row r="764" spans="1:11" x14ac:dyDescent="0.25">
      <c r="A764" s="115"/>
      <c r="B764" s="248"/>
      <c r="C764" s="248"/>
      <c r="K764" s="248"/>
    </row>
    <row r="765" spans="1:11" x14ac:dyDescent="0.25">
      <c r="A765" s="115"/>
      <c r="B765" s="248"/>
      <c r="C765" s="248"/>
      <c r="K765" s="248"/>
    </row>
    <row r="766" spans="1:11" x14ac:dyDescent="0.25">
      <c r="A766" s="115"/>
      <c r="B766" s="248"/>
      <c r="C766" s="248"/>
      <c r="K766" s="248"/>
    </row>
    <row r="767" spans="1:11" x14ac:dyDescent="0.25">
      <c r="A767" s="115"/>
      <c r="B767" s="248"/>
      <c r="C767" s="248"/>
      <c r="K767" s="248"/>
    </row>
    <row r="768" spans="1:11" x14ac:dyDescent="0.25">
      <c r="A768" s="115"/>
      <c r="B768" s="248"/>
      <c r="C768" s="248"/>
      <c r="K768" s="248"/>
    </row>
    <row r="769" spans="1:11" x14ac:dyDescent="0.25">
      <c r="A769" s="115"/>
      <c r="B769" s="248"/>
      <c r="C769" s="248"/>
      <c r="K769" s="248"/>
    </row>
    <row r="770" spans="1:11" x14ac:dyDescent="0.25">
      <c r="A770" s="115"/>
      <c r="B770" s="248"/>
      <c r="C770" s="248"/>
      <c r="K770" s="248"/>
    </row>
    <row r="771" spans="1:11" x14ac:dyDescent="0.25">
      <c r="A771" s="115"/>
      <c r="B771" s="248"/>
      <c r="C771" s="248"/>
      <c r="K771" s="248"/>
    </row>
    <row r="772" spans="1:11" x14ac:dyDescent="0.25">
      <c r="A772" s="115"/>
      <c r="B772" s="248"/>
      <c r="C772" s="248"/>
      <c r="K772" s="248"/>
    </row>
    <row r="773" spans="1:11" x14ac:dyDescent="0.25">
      <c r="A773" s="115"/>
      <c r="B773" s="248"/>
      <c r="C773" s="248"/>
      <c r="K773" s="248"/>
    </row>
    <row r="774" spans="1:11" x14ac:dyDescent="0.25">
      <c r="A774" s="115"/>
      <c r="B774" s="248"/>
      <c r="C774" s="248"/>
      <c r="K774" s="248"/>
    </row>
    <row r="775" spans="1:11" x14ac:dyDescent="0.25">
      <c r="A775" s="115"/>
      <c r="B775" s="248"/>
      <c r="C775" s="248"/>
      <c r="K775" s="248"/>
    </row>
    <row r="776" spans="1:11" x14ac:dyDescent="0.25">
      <c r="A776" s="115"/>
      <c r="B776" s="248"/>
      <c r="C776" s="248"/>
      <c r="K776" s="248"/>
    </row>
    <row r="777" spans="1:11" x14ac:dyDescent="0.25">
      <c r="A777" s="115"/>
      <c r="B777" s="248"/>
      <c r="C777" s="248"/>
      <c r="K777" s="248"/>
    </row>
    <row r="778" spans="1:11" x14ac:dyDescent="0.25">
      <c r="A778" s="115"/>
      <c r="B778" s="248"/>
      <c r="C778" s="248"/>
      <c r="K778" s="248"/>
    </row>
    <row r="779" spans="1:11" x14ac:dyDescent="0.25">
      <c r="A779" s="115"/>
      <c r="B779" s="248"/>
      <c r="C779" s="248"/>
      <c r="K779" s="248"/>
    </row>
    <row r="780" spans="1:11" x14ac:dyDescent="0.25">
      <c r="A780" s="115"/>
      <c r="B780" s="248"/>
      <c r="C780" s="248"/>
      <c r="K780" s="248"/>
    </row>
    <row r="781" spans="1:11" x14ac:dyDescent="0.25">
      <c r="A781" s="115"/>
      <c r="B781" s="248"/>
      <c r="C781" s="248"/>
      <c r="K781" s="248"/>
    </row>
    <row r="782" spans="1:11" x14ac:dyDescent="0.25">
      <c r="A782" s="115"/>
      <c r="B782" s="248"/>
      <c r="C782" s="248"/>
      <c r="K782" s="248"/>
    </row>
    <row r="783" spans="1:11" x14ac:dyDescent="0.25">
      <c r="A783" s="115"/>
      <c r="B783" s="248"/>
      <c r="C783" s="248"/>
      <c r="K783" s="248"/>
    </row>
    <row r="784" spans="1:11" x14ac:dyDescent="0.25">
      <c r="A784" s="115"/>
      <c r="B784" s="248"/>
      <c r="C784" s="248"/>
      <c r="K784" s="248"/>
    </row>
    <row r="785" spans="1:11" x14ac:dyDescent="0.25">
      <c r="A785" s="115"/>
      <c r="B785" s="248"/>
      <c r="C785" s="248"/>
      <c r="K785" s="248"/>
    </row>
    <row r="786" spans="1:11" x14ac:dyDescent="0.25">
      <c r="A786" s="115"/>
      <c r="B786" s="248"/>
      <c r="C786" s="248"/>
      <c r="K786" s="248"/>
    </row>
    <row r="787" spans="1:11" x14ac:dyDescent="0.25">
      <c r="A787" s="115"/>
      <c r="B787" s="248"/>
      <c r="C787" s="248"/>
      <c r="K787" s="248"/>
    </row>
    <row r="788" spans="1:11" x14ac:dyDescent="0.25">
      <c r="A788" s="115"/>
      <c r="B788" s="248"/>
      <c r="C788" s="248"/>
      <c r="K788" s="248"/>
    </row>
    <row r="789" spans="1:11" x14ac:dyDescent="0.25">
      <c r="A789" s="115"/>
      <c r="B789" s="248"/>
      <c r="C789" s="248"/>
      <c r="K789" s="248"/>
    </row>
    <row r="790" spans="1:11" x14ac:dyDescent="0.25">
      <c r="A790" s="115"/>
      <c r="B790" s="248"/>
      <c r="C790" s="248"/>
      <c r="K790" s="248"/>
    </row>
    <row r="791" spans="1:11" x14ac:dyDescent="0.25">
      <c r="A791" s="115"/>
      <c r="B791" s="248"/>
      <c r="C791" s="248"/>
      <c r="K791" s="248"/>
    </row>
    <row r="792" spans="1:11" x14ac:dyDescent="0.25">
      <c r="A792" s="115"/>
      <c r="B792" s="248"/>
      <c r="C792" s="248"/>
      <c r="K792" s="248"/>
    </row>
    <row r="793" spans="1:11" x14ac:dyDescent="0.25">
      <c r="A793" s="115"/>
      <c r="B793" s="248"/>
      <c r="C793" s="248"/>
      <c r="K793" s="248"/>
    </row>
    <row r="794" spans="1:11" x14ac:dyDescent="0.25">
      <c r="A794" s="115"/>
      <c r="B794" s="248"/>
      <c r="C794" s="248"/>
      <c r="K794" s="248"/>
    </row>
    <row r="795" spans="1:11" x14ac:dyDescent="0.25">
      <c r="A795" s="115"/>
      <c r="B795" s="248"/>
      <c r="C795" s="248"/>
      <c r="K795" s="248"/>
    </row>
    <row r="796" spans="1:11" x14ac:dyDescent="0.25">
      <c r="A796" s="115"/>
      <c r="B796" s="248"/>
      <c r="C796" s="248"/>
      <c r="K796" s="248"/>
    </row>
    <row r="797" spans="1:11" x14ac:dyDescent="0.25">
      <c r="A797" s="115"/>
      <c r="B797" s="248"/>
      <c r="C797" s="248"/>
      <c r="K797" s="248"/>
    </row>
    <row r="798" spans="1:11" x14ac:dyDescent="0.25">
      <c r="A798" s="115"/>
      <c r="B798" s="248"/>
      <c r="C798" s="248"/>
      <c r="K798" s="248"/>
    </row>
    <row r="799" spans="1:11" x14ac:dyDescent="0.25">
      <c r="A799" s="115"/>
      <c r="B799" s="248"/>
      <c r="C799" s="248"/>
      <c r="K799" s="248"/>
    </row>
    <row r="800" spans="1:11" x14ac:dyDescent="0.25">
      <c r="A800" s="115"/>
      <c r="B800" s="248"/>
      <c r="C800" s="248"/>
      <c r="K800" s="248"/>
    </row>
    <row r="801" spans="1:11" x14ac:dyDescent="0.25">
      <c r="A801" s="115"/>
      <c r="B801" s="248"/>
      <c r="C801" s="248"/>
      <c r="K801" s="248"/>
    </row>
    <row r="802" spans="1:11" x14ac:dyDescent="0.25">
      <c r="A802" s="115"/>
      <c r="B802" s="248"/>
      <c r="C802" s="248"/>
      <c r="K802" s="248"/>
    </row>
    <row r="803" spans="1:11" x14ac:dyDescent="0.25">
      <c r="A803" s="115"/>
      <c r="B803" s="248"/>
      <c r="C803" s="248"/>
      <c r="K803" s="248"/>
    </row>
    <row r="804" spans="1:11" x14ac:dyDescent="0.25">
      <c r="A804" s="115"/>
      <c r="B804" s="248"/>
      <c r="C804" s="248"/>
      <c r="K804" s="248"/>
    </row>
    <row r="805" spans="1:11" x14ac:dyDescent="0.25">
      <c r="A805" s="115"/>
      <c r="B805" s="248"/>
      <c r="C805" s="248"/>
      <c r="K805" s="248"/>
    </row>
    <row r="806" spans="1:11" x14ac:dyDescent="0.25">
      <c r="A806" s="115"/>
      <c r="B806" s="248"/>
      <c r="C806" s="248"/>
      <c r="K806" s="248"/>
    </row>
    <row r="807" spans="1:11" x14ac:dyDescent="0.25">
      <c r="A807" s="115"/>
      <c r="B807" s="248"/>
      <c r="C807" s="248"/>
      <c r="K807" s="248"/>
    </row>
    <row r="808" spans="1:11" x14ac:dyDescent="0.25">
      <c r="A808" s="115"/>
      <c r="B808" s="248"/>
      <c r="C808" s="248"/>
      <c r="K808" s="248"/>
    </row>
    <row r="809" spans="1:11" x14ac:dyDescent="0.25">
      <c r="A809" s="115"/>
      <c r="B809" s="248"/>
      <c r="C809" s="248"/>
      <c r="K809" s="248"/>
    </row>
    <row r="810" spans="1:11" x14ac:dyDescent="0.25">
      <c r="A810" s="115"/>
      <c r="B810" s="248"/>
      <c r="C810" s="248"/>
      <c r="K810" s="248"/>
    </row>
    <row r="811" spans="1:11" x14ac:dyDescent="0.25">
      <c r="A811" s="115"/>
      <c r="B811" s="248"/>
      <c r="C811" s="248"/>
      <c r="K811" s="248"/>
    </row>
    <row r="812" spans="1:11" x14ac:dyDescent="0.25">
      <c r="A812" s="115"/>
      <c r="B812" s="248"/>
      <c r="C812" s="248"/>
      <c r="K812" s="248"/>
    </row>
    <row r="813" spans="1:11" x14ac:dyDescent="0.25">
      <c r="A813" s="115"/>
      <c r="B813" s="248"/>
      <c r="C813" s="248"/>
      <c r="K813" s="248"/>
    </row>
    <row r="814" spans="1:11" x14ac:dyDescent="0.25">
      <c r="A814" s="115"/>
      <c r="B814" s="248"/>
      <c r="C814" s="248"/>
      <c r="K814" s="248"/>
    </row>
    <row r="815" spans="1:11" x14ac:dyDescent="0.25">
      <c r="A815" s="115"/>
      <c r="B815" s="248"/>
      <c r="C815" s="248"/>
      <c r="K815" s="248"/>
    </row>
    <row r="816" spans="1:11" x14ac:dyDescent="0.25">
      <c r="A816" s="115"/>
      <c r="B816" s="248"/>
      <c r="C816" s="248"/>
      <c r="K816" s="248"/>
    </row>
    <row r="817" spans="1:11" x14ac:dyDescent="0.25">
      <c r="A817" s="115"/>
      <c r="B817" s="248"/>
      <c r="C817" s="248"/>
      <c r="K817" s="248"/>
    </row>
    <row r="818" spans="1:11" x14ac:dyDescent="0.25">
      <c r="A818" s="115"/>
      <c r="B818" s="248"/>
      <c r="C818" s="248"/>
      <c r="K818" s="248"/>
    </row>
    <row r="819" spans="1:11" x14ac:dyDescent="0.25">
      <c r="A819" s="115"/>
      <c r="B819" s="248"/>
      <c r="C819" s="248"/>
      <c r="K819" s="248"/>
    </row>
    <row r="820" spans="1:11" x14ac:dyDescent="0.25">
      <c r="A820" s="115"/>
      <c r="B820" s="248"/>
      <c r="C820" s="248"/>
      <c r="K820" s="248"/>
    </row>
    <row r="821" spans="1:11" x14ac:dyDescent="0.25">
      <c r="A821" s="115"/>
      <c r="B821" s="248"/>
      <c r="C821" s="248"/>
      <c r="K821" s="248"/>
    </row>
    <row r="822" spans="1:11" x14ac:dyDescent="0.25">
      <c r="A822" s="115"/>
      <c r="B822" s="248"/>
      <c r="C822" s="248"/>
      <c r="K822" s="248"/>
    </row>
    <row r="823" spans="1:11" x14ac:dyDescent="0.25">
      <c r="A823" s="115"/>
      <c r="B823" s="248"/>
      <c r="C823" s="248"/>
      <c r="K823" s="248"/>
    </row>
    <row r="824" spans="1:11" x14ac:dyDescent="0.25">
      <c r="A824" s="115"/>
      <c r="B824" s="248"/>
      <c r="C824" s="248"/>
      <c r="K824" s="248"/>
    </row>
    <row r="825" spans="1:11" x14ac:dyDescent="0.25">
      <c r="A825" s="115"/>
      <c r="B825" s="248"/>
      <c r="C825" s="248"/>
      <c r="K825" s="248"/>
    </row>
    <row r="826" spans="1:11" x14ac:dyDescent="0.25">
      <c r="A826" s="115"/>
      <c r="B826" s="248"/>
      <c r="C826" s="248"/>
      <c r="K826" s="248"/>
    </row>
    <row r="827" spans="1:11" x14ac:dyDescent="0.25">
      <c r="A827" s="115"/>
      <c r="B827" s="248"/>
      <c r="C827" s="248"/>
      <c r="K827" s="248"/>
    </row>
    <row r="828" spans="1:11" x14ac:dyDescent="0.25">
      <c r="A828" s="115"/>
      <c r="B828" s="248"/>
      <c r="C828" s="248"/>
      <c r="K828" s="248"/>
    </row>
    <row r="829" spans="1:11" x14ac:dyDescent="0.25">
      <c r="A829" s="115"/>
      <c r="B829" s="248"/>
      <c r="C829" s="248"/>
      <c r="K829" s="248"/>
    </row>
    <row r="830" spans="1:11" x14ac:dyDescent="0.25">
      <c r="A830" s="115"/>
      <c r="B830" s="248"/>
      <c r="C830" s="248"/>
      <c r="K830" s="248"/>
    </row>
    <row r="831" spans="1:11" x14ac:dyDescent="0.25">
      <c r="A831" s="115"/>
      <c r="B831" s="248"/>
      <c r="C831" s="248"/>
      <c r="K831" s="248"/>
    </row>
    <row r="832" spans="1:11" x14ac:dyDescent="0.25">
      <c r="A832" s="115"/>
      <c r="B832" s="248"/>
      <c r="C832" s="248"/>
      <c r="K832" s="248"/>
    </row>
    <row r="833" spans="1:11" x14ac:dyDescent="0.25">
      <c r="A833" s="115"/>
      <c r="B833" s="248"/>
      <c r="C833" s="248"/>
      <c r="K833" s="248"/>
    </row>
    <row r="834" spans="1:11" x14ac:dyDescent="0.25">
      <c r="A834" s="115"/>
      <c r="B834" s="248"/>
      <c r="C834" s="248"/>
      <c r="K834" s="248"/>
    </row>
    <row r="835" spans="1:11" x14ac:dyDescent="0.25">
      <c r="A835" s="115"/>
      <c r="B835" s="248"/>
      <c r="C835" s="248"/>
      <c r="K835" s="248"/>
    </row>
    <row r="836" spans="1:11" x14ac:dyDescent="0.25">
      <c r="A836" s="115"/>
      <c r="B836" s="248"/>
      <c r="C836" s="248"/>
      <c r="K836" s="248"/>
    </row>
    <row r="837" spans="1:11" x14ac:dyDescent="0.25">
      <c r="A837" s="115"/>
      <c r="B837" s="248"/>
      <c r="C837" s="248"/>
      <c r="K837" s="248"/>
    </row>
    <row r="838" spans="1:11" x14ac:dyDescent="0.25">
      <c r="A838" s="115"/>
      <c r="B838" s="248"/>
      <c r="C838" s="248"/>
      <c r="K838" s="248"/>
    </row>
    <row r="839" spans="1:11" x14ac:dyDescent="0.25">
      <c r="A839" s="115"/>
      <c r="B839" s="248"/>
      <c r="C839" s="248"/>
      <c r="K839" s="248"/>
    </row>
    <row r="840" spans="1:11" x14ac:dyDescent="0.25">
      <c r="A840" s="115"/>
      <c r="B840" s="248"/>
      <c r="C840" s="248"/>
      <c r="K840" s="248"/>
    </row>
    <row r="841" spans="1:11" x14ac:dyDescent="0.25">
      <c r="A841" s="115"/>
      <c r="B841" s="248"/>
      <c r="C841" s="248"/>
      <c r="K841" s="248"/>
    </row>
    <row r="842" spans="1:11" x14ac:dyDescent="0.25">
      <c r="A842" s="115"/>
      <c r="B842" s="248"/>
      <c r="C842" s="248"/>
      <c r="K842" s="248"/>
    </row>
    <row r="843" spans="1:11" x14ac:dyDescent="0.25">
      <c r="A843" s="115"/>
      <c r="B843" s="248"/>
      <c r="C843" s="248"/>
      <c r="K843" s="248"/>
    </row>
    <row r="844" spans="1:11" x14ac:dyDescent="0.25">
      <c r="A844" s="115"/>
      <c r="B844" s="248"/>
      <c r="C844" s="248"/>
      <c r="K844" s="248"/>
    </row>
    <row r="845" spans="1:11" x14ac:dyDescent="0.25">
      <c r="A845" s="115"/>
      <c r="B845" s="248"/>
      <c r="C845" s="248"/>
      <c r="K845" s="248"/>
    </row>
    <row r="846" spans="1:11" x14ac:dyDescent="0.25">
      <c r="A846" s="115"/>
      <c r="B846" s="248"/>
      <c r="C846" s="248"/>
      <c r="K846" s="248"/>
    </row>
    <row r="847" spans="1:11" x14ac:dyDescent="0.25">
      <c r="A847" s="115"/>
      <c r="B847" s="248"/>
      <c r="C847" s="248"/>
      <c r="K847" s="248"/>
    </row>
    <row r="848" spans="1:11" x14ac:dyDescent="0.25">
      <c r="A848" s="115"/>
      <c r="B848" s="248"/>
      <c r="C848" s="248"/>
      <c r="K848" s="248"/>
    </row>
    <row r="849" spans="1:11" x14ac:dyDescent="0.25">
      <c r="A849" s="115"/>
      <c r="B849" s="248"/>
      <c r="C849" s="248"/>
      <c r="K849" s="248"/>
    </row>
    <row r="850" spans="1:11" x14ac:dyDescent="0.25">
      <c r="A850" s="115"/>
      <c r="B850" s="248"/>
      <c r="C850" s="248"/>
      <c r="K850" s="248"/>
    </row>
    <row r="851" spans="1:11" x14ac:dyDescent="0.25">
      <c r="A851" s="115"/>
      <c r="B851" s="248"/>
      <c r="C851" s="248"/>
      <c r="K851" s="248"/>
    </row>
    <row r="852" spans="1:11" x14ac:dyDescent="0.25">
      <c r="A852" s="115"/>
      <c r="B852" s="248"/>
      <c r="C852" s="248"/>
      <c r="K852" s="248"/>
    </row>
    <row r="853" spans="1:11" x14ac:dyDescent="0.25">
      <c r="A853" s="115"/>
      <c r="B853" s="248"/>
      <c r="C853" s="248"/>
      <c r="K853" s="248"/>
    </row>
    <row r="854" spans="1:11" x14ac:dyDescent="0.25">
      <c r="A854" s="115"/>
      <c r="B854" s="248"/>
      <c r="C854" s="248"/>
      <c r="K854" s="248"/>
    </row>
    <row r="855" spans="1:11" x14ac:dyDescent="0.25">
      <c r="A855" s="115"/>
      <c r="B855" s="248"/>
      <c r="C855" s="248"/>
      <c r="K855" s="248"/>
    </row>
    <row r="856" spans="1:11" x14ac:dyDescent="0.25">
      <c r="A856" s="115"/>
      <c r="B856" s="248"/>
      <c r="C856" s="248"/>
      <c r="K856" s="248"/>
    </row>
    <row r="857" spans="1:11" x14ac:dyDescent="0.25">
      <c r="A857" s="115"/>
      <c r="B857" s="248"/>
      <c r="C857" s="248"/>
      <c r="K857" s="248"/>
    </row>
    <row r="858" spans="1:11" x14ac:dyDescent="0.25">
      <c r="A858" s="115"/>
      <c r="B858" s="248"/>
      <c r="C858" s="248"/>
      <c r="K858" s="248"/>
    </row>
    <row r="859" spans="1:11" x14ac:dyDescent="0.25">
      <c r="A859" s="115"/>
      <c r="B859" s="248"/>
      <c r="C859" s="248"/>
      <c r="K859" s="248"/>
    </row>
    <row r="860" spans="1:11" x14ac:dyDescent="0.25">
      <c r="A860" s="115"/>
      <c r="B860" s="248"/>
      <c r="C860" s="248"/>
      <c r="K860" s="248"/>
    </row>
    <row r="861" spans="1:11" x14ac:dyDescent="0.25">
      <c r="A861" s="115"/>
      <c r="B861" s="248"/>
      <c r="C861" s="248"/>
      <c r="K861" s="248"/>
    </row>
    <row r="862" spans="1:11" x14ac:dyDescent="0.25">
      <c r="A862" s="115"/>
      <c r="B862" s="248"/>
      <c r="C862" s="248"/>
      <c r="K862" s="248"/>
    </row>
    <row r="863" spans="1:11" x14ac:dyDescent="0.25">
      <c r="A863" s="115"/>
      <c r="B863" s="248"/>
      <c r="C863" s="248"/>
      <c r="K863" s="248"/>
    </row>
    <row r="864" spans="1:11" x14ac:dyDescent="0.25">
      <c r="A864" s="115"/>
      <c r="B864" s="248"/>
      <c r="C864" s="248"/>
      <c r="K864" s="248"/>
    </row>
    <row r="865" spans="1:11" x14ac:dyDescent="0.25">
      <c r="A865" s="115"/>
      <c r="B865" s="248"/>
      <c r="C865" s="248"/>
      <c r="K865" s="248"/>
    </row>
    <row r="866" spans="1:11" x14ac:dyDescent="0.25">
      <c r="A866" s="115"/>
      <c r="B866" s="248"/>
      <c r="C866" s="248"/>
      <c r="K866" s="248"/>
    </row>
    <row r="867" spans="1:11" x14ac:dyDescent="0.25">
      <c r="A867" s="115"/>
      <c r="B867" s="248"/>
      <c r="C867" s="248"/>
      <c r="K867" s="248"/>
    </row>
    <row r="868" spans="1:11" x14ac:dyDescent="0.25">
      <c r="A868" s="115"/>
      <c r="B868" s="248"/>
      <c r="C868" s="248"/>
      <c r="K868" s="248"/>
    </row>
    <row r="869" spans="1:11" x14ac:dyDescent="0.25">
      <c r="A869" s="115"/>
      <c r="B869" s="248"/>
      <c r="C869" s="248"/>
      <c r="K869" s="248"/>
    </row>
    <row r="870" spans="1:11" x14ac:dyDescent="0.25">
      <c r="A870" s="115"/>
      <c r="B870" s="248"/>
      <c r="C870" s="248"/>
      <c r="K870" s="248"/>
    </row>
    <row r="871" spans="1:11" x14ac:dyDescent="0.25">
      <c r="A871" s="115"/>
      <c r="B871" s="248"/>
      <c r="C871" s="248"/>
      <c r="K871" s="248"/>
    </row>
    <row r="872" spans="1:11" x14ac:dyDescent="0.25">
      <c r="A872" s="115"/>
      <c r="B872" s="248"/>
      <c r="C872" s="248"/>
      <c r="K872" s="248"/>
    </row>
    <row r="873" spans="1:11" x14ac:dyDescent="0.25">
      <c r="A873" s="115"/>
      <c r="B873" s="248"/>
      <c r="C873" s="248"/>
      <c r="K873" s="248"/>
    </row>
    <row r="874" spans="1:11" x14ac:dyDescent="0.25">
      <c r="A874" s="115"/>
      <c r="B874" s="248"/>
      <c r="C874" s="248"/>
      <c r="K874" s="248"/>
    </row>
    <row r="875" spans="1:11" x14ac:dyDescent="0.25">
      <c r="A875" s="115"/>
      <c r="B875" s="248"/>
      <c r="C875" s="248"/>
      <c r="K875" s="248"/>
    </row>
    <row r="876" spans="1:11" x14ac:dyDescent="0.25">
      <c r="A876" s="115"/>
      <c r="B876" s="248"/>
      <c r="C876" s="248"/>
      <c r="K876" s="248"/>
    </row>
    <row r="877" spans="1:11" x14ac:dyDescent="0.25">
      <c r="A877" s="115"/>
      <c r="B877" s="248"/>
      <c r="C877" s="248"/>
      <c r="K877" s="248"/>
    </row>
    <row r="878" spans="1:11" x14ac:dyDescent="0.25">
      <c r="A878" s="115"/>
      <c r="B878" s="248"/>
      <c r="C878" s="248"/>
      <c r="K878" s="248"/>
    </row>
    <row r="879" spans="1:11" x14ac:dyDescent="0.25">
      <c r="A879" s="115"/>
      <c r="B879" s="248"/>
      <c r="C879" s="248"/>
      <c r="K879" s="248"/>
    </row>
    <row r="880" spans="1:11" x14ac:dyDescent="0.25">
      <c r="A880" s="115"/>
      <c r="B880" s="248"/>
      <c r="C880" s="248"/>
      <c r="K880" s="248"/>
    </row>
    <row r="881" spans="1:11" x14ac:dyDescent="0.25">
      <c r="A881" s="115"/>
      <c r="B881" s="248"/>
      <c r="C881" s="248"/>
      <c r="K881" s="248"/>
    </row>
    <row r="882" spans="1:11" x14ac:dyDescent="0.25">
      <c r="A882" s="115"/>
      <c r="B882" s="248"/>
      <c r="C882" s="248"/>
      <c r="K882" s="248"/>
    </row>
    <row r="883" spans="1:11" x14ac:dyDescent="0.25">
      <c r="A883" s="115"/>
      <c r="B883" s="248"/>
      <c r="C883" s="248"/>
      <c r="K883" s="248"/>
    </row>
    <row r="884" spans="1:11" x14ac:dyDescent="0.25">
      <c r="A884" s="115"/>
      <c r="B884" s="248"/>
      <c r="C884" s="248"/>
      <c r="K884" s="248"/>
    </row>
    <row r="885" spans="1:11" x14ac:dyDescent="0.25">
      <c r="A885" s="115"/>
      <c r="B885" s="248"/>
      <c r="C885" s="248"/>
      <c r="K885" s="248"/>
    </row>
    <row r="886" spans="1:11" x14ac:dyDescent="0.25">
      <c r="A886" s="115"/>
      <c r="B886" s="248"/>
      <c r="C886" s="248"/>
      <c r="K886" s="248"/>
    </row>
    <row r="887" spans="1:11" x14ac:dyDescent="0.25">
      <c r="A887" s="115"/>
      <c r="B887" s="248"/>
      <c r="C887" s="248"/>
      <c r="K887" s="248"/>
    </row>
    <row r="888" spans="1:11" x14ac:dyDescent="0.25">
      <c r="A888" s="115"/>
      <c r="B888" s="248"/>
      <c r="C888" s="248"/>
      <c r="K888" s="248"/>
    </row>
    <row r="889" spans="1:11" x14ac:dyDescent="0.25">
      <c r="A889" s="115"/>
      <c r="B889" s="248"/>
      <c r="C889" s="248"/>
      <c r="K889" s="248"/>
    </row>
    <row r="890" spans="1:11" x14ac:dyDescent="0.25">
      <c r="A890" s="115"/>
      <c r="B890" s="248"/>
      <c r="C890" s="248"/>
      <c r="K890" s="248"/>
    </row>
    <row r="891" spans="1:11" x14ac:dyDescent="0.25">
      <c r="A891" s="115"/>
      <c r="B891" s="248"/>
      <c r="C891" s="248"/>
      <c r="K891" s="248"/>
    </row>
    <row r="892" spans="1:11" x14ac:dyDescent="0.25">
      <c r="A892" s="115"/>
      <c r="B892" s="248"/>
      <c r="C892" s="248"/>
      <c r="K892" s="248"/>
    </row>
    <row r="893" spans="1:11" x14ac:dyDescent="0.25">
      <c r="A893" s="115"/>
      <c r="B893" s="248"/>
      <c r="C893" s="248"/>
      <c r="K893" s="248"/>
    </row>
    <row r="894" spans="1:11" x14ac:dyDescent="0.25">
      <c r="A894" s="115"/>
      <c r="B894" s="248"/>
      <c r="C894" s="248"/>
      <c r="K894" s="248"/>
    </row>
    <row r="895" spans="1:11" x14ac:dyDescent="0.25">
      <c r="A895" s="115"/>
      <c r="B895" s="248"/>
      <c r="C895" s="248"/>
      <c r="K895" s="248"/>
    </row>
    <row r="896" spans="1:11" x14ac:dyDescent="0.25">
      <c r="A896" s="115"/>
      <c r="B896" s="248"/>
      <c r="C896" s="248"/>
      <c r="K896" s="248"/>
    </row>
    <row r="897" spans="1:11" x14ac:dyDescent="0.25">
      <c r="A897" s="115"/>
      <c r="B897" s="248"/>
      <c r="C897" s="248"/>
      <c r="K897" s="248"/>
    </row>
    <row r="898" spans="1:11" x14ac:dyDescent="0.25">
      <c r="A898" s="115"/>
      <c r="B898" s="248"/>
      <c r="C898" s="248"/>
      <c r="K898" s="248"/>
    </row>
    <row r="899" spans="1:11" x14ac:dyDescent="0.25">
      <c r="A899" s="115"/>
      <c r="B899" s="248"/>
      <c r="C899" s="248"/>
      <c r="K899" s="248"/>
    </row>
    <row r="900" spans="1:11" x14ac:dyDescent="0.25">
      <c r="A900" s="115"/>
      <c r="B900" s="248"/>
      <c r="C900" s="248"/>
      <c r="K900" s="248"/>
    </row>
    <row r="901" spans="1:11" x14ac:dyDescent="0.25">
      <c r="A901" s="115"/>
      <c r="B901" s="248"/>
      <c r="C901" s="248"/>
      <c r="K901" s="248"/>
    </row>
    <row r="902" spans="1:11" x14ac:dyDescent="0.25">
      <c r="A902" s="115"/>
      <c r="B902" s="248"/>
      <c r="C902" s="248"/>
      <c r="K902" s="248"/>
    </row>
    <row r="903" spans="1:11" x14ac:dyDescent="0.25">
      <c r="A903" s="115"/>
      <c r="B903" s="248"/>
      <c r="C903" s="248"/>
      <c r="K903" s="248"/>
    </row>
    <row r="904" spans="1:11" x14ac:dyDescent="0.25">
      <c r="A904" s="115"/>
      <c r="B904" s="248"/>
      <c r="C904" s="248"/>
      <c r="K904" s="248"/>
    </row>
    <row r="905" spans="1:11" x14ac:dyDescent="0.25">
      <c r="A905" s="115"/>
      <c r="B905" s="248"/>
      <c r="C905" s="248"/>
      <c r="K905" s="248"/>
    </row>
    <row r="906" spans="1:11" x14ac:dyDescent="0.25">
      <c r="A906" s="115"/>
      <c r="B906" s="248"/>
      <c r="C906" s="248"/>
      <c r="K906" s="248"/>
    </row>
    <row r="907" spans="1:11" x14ac:dyDescent="0.25">
      <c r="A907" s="115"/>
      <c r="B907" s="248"/>
      <c r="C907" s="248"/>
      <c r="K907" s="248"/>
    </row>
    <row r="908" spans="1:11" x14ac:dyDescent="0.25">
      <c r="A908" s="115"/>
      <c r="B908" s="248"/>
      <c r="C908" s="248"/>
      <c r="K908" s="248"/>
    </row>
    <row r="909" spans="1:11" x14ac:dyDescent="0.25">
      <c r="A909" s="115"/>
      <c r="B909" s="248"/>
      <c r="C909" s="248"/>
      <c r="K909" s="248"/>
    </row>
    <row r="910" spans="1:11" x14ac:dyDescent="0.25">
      <c r="A910" s="115"/>
      <c r="B910" s="248"/>
      <c r="C910" s="248"/>
      <c r="K910" s="248"/>
    </row>
    <row r="911" spans="1:11" x14ac:dyDescent="0.25">
      <c r="A911" s="115"/>
      <c r="B911" s="248"/>
      <c r="C911" s="248"/>
      <c r="K911" s="248"/>
    </row>
    <row r="912" spans="1:11" x14ac:dyDescent="0.25">
      <c r="A912" s="115"/>
      <c r="B912" s="248"/>
      <c r="C912" s="248"/>
      <c r="K912" s="248"/>
    </row>
    <row r="913" spans="1:11" x14ac:dyDescent="0.25">
      <c r="A913" s="115"/>
      <c r="B913" s="248"/>
      <c r="C913" s="248"/>
      <c r="K913" s="248"/>
    </row>
    <row r="914" spans="1:11" x14ac:dyDescent="0.25">
      <c r="A914" s="115"/>
      <c r="B914" s="248"/>
      <c r="C914" s="248"/>
      <c r="K914" s="248"/>
    </row>
    <row r="915" spans="1:11" x14ac:dyDescent="0.25">
      <c r="A915" s="115"/>
      <c r="B915" s="248"/>
      <c r="C915" s="248"/>
      <c r="K915" s="248"/>
    </row>
    <row r="916" spans="1:11" x14ac:dyDescent="0.25">
      <c r="A916" s="115"/>
      <c r="B916" s="248"/>
      <c r="C916" s="248"/>
      <c r="K916" s="248"/>
    </row>
    <row r="917" spans="1:11" x14ac:dyDescent="0.25">
      <c r="A917" s="115"/>
      <c r="B917" s="248"/>
      <c r="C917" s="248"/>
      <c r="K917" s="248"/>
    </row>
    <row r="918" spans="1:11" x14ac:dyDescent="0.25">
      <c r="A918" s="115"/>
      <c r="B918" s="248"/>
      <c r="C918" s="248"/>
      <c r="K918" s="248"/>
    </row>
    <row r="919" spans="1:11" x14ac:dyDescent="0.25">
      <c r="A919" s="115"/>
      <c r="B919" s="248"/>
      <c r="C919" s="248"/>
      <c r="K919" s="248"/>
    </row>
    <row r="920" spans="1:11" x14ac:dyDescent="0.25">
      <c r="A920" s="115"/>
      <c r="B920" s="248"/>
      <c r="C920" s="248"/>
      <c r="K920" s="248"/>
    </row>
    <row r="921" spans="1:11" x14ac:dyDescent="0.25">
      <c r="A921" s="115"/>
      <c r="B921" s="248"/>
      <c r="C921" s="248"/>
      <c r="K921" s="248"/>
    </row>
    <row r="922" spans="1:11" x14ac:dyDescent="0.25">
      <c r="A922" s="115"/>
      <c r="B922" s="248"/>
      <c r="C922" s="248"/>
      <c r="K922" s="248"/>
    </row>
    <row r="923" spans="1:11" x14ac:dyDescent="0.25">
      <c r="A923" s="115"/>
      <c r="B923" s="248"/>
      <c r="C923" s="248"/>
      <c r="K923" s="248"/>
    </row>
    <row r="924" spans="1:11" x14ac:dyDescent="0.25">
      <c r="A924" s="115"/>
      <c r="B924" s="248"/>
      <c r="C924" s="248"/>
      <c r="K924" s="248"/>
    </row>
    <row r="925" spans="1:11" x14ac:dyDescent="0.25">
      <c r="A925" s="115"/>
      <c r="B925" s="248"/>
      <c r="C925" s="248"/>
      <c r="K925" s="248"/>
    </row>
    <row r="926" spans="1:11" x14ac:dyDescent="0.25">
      <c r="A926" s="115"/>
      <c r="B926" s="248"/>
      <c r="C926" s="248"/>
      <c r="K926" s="248"/>
    </row>
    <row r="927" spans="1:11" x14ac:dyDescent="0.25">
      <c r="A927" s="115"/>
      <c r="B927" s="248"/>
      <c r="C927" s="248"/>
      <c r="K927" s="248"/>
    </row>
    <row r="928" spans="1:11" x14ac:dyDescent="0.25">
      <c r="A928" s="115"/>
      <c r="B928" s="248"/>
      <c r="C928" s="248"/>
      <c r="K928" s="248"/>
    </row>
    <row r="929" spans="1:11" x14ac:dyDescent="0.25">
      <c r="A929" s="115"/>
      <c r="B929" s="248"/>
      <c r="C929" s="248"/>
      <c r="K929" s="248"/>
    </row>
    <row r="930" spans="1:11" x14ac:dyDescent="0.25">
      <c r="A930" s="115"/>
      <c r="B930" s="248"/>
      <c r="C930" s="248"/>
      <c r="K930" s="248"/>
    </row>
    <row r="931" spans="1:11" x14ac:dyDescent="0.25">
      <c r="A931" s="115"/>
      <c r="B931" s="248"/>
      <c r="C931" s="248"/>
      <c r="K931" s="248"/>
    </row>
    <row r="932" spans="1:11" x14ac:dyDescent="0.25">
      <c r="A932" s="115"/>
      <c r="B932" s="248"/>
      <c r="C932" s="248"/>
      <c r="K932" s="248"/>
    </row>
    <row r="933" spans="1:11" x14ac:dyDescent="0.25">
      <c r="A933" s="115"/>
      <c r="B933" s="248"/>
      <c r="C933" s="248"/>
      <c r="K933" s="248"/>
    </row>
    <row r="934" spans="1:11" x14ac:dyDescent="0.25">
      <c r="A934" s="115"/>
      <c r="B934" s="248"/>
      <c r="C934" s="248"/>
      <c r="K934" s="248"/>
    </row>
    <row r="935" spans="1:11" x14ac:dyDescent="0.25">
      <c r="A935" s="115"/>
      <c r="B935" s="248"/>
      <c r="C935" s="248"/>
      <c r="K935" s="248"/>
    </row>
    <row r="936" spans="1:11" x14ac:dyDescent="0.25">
      <c r="A936" s="115"/>
      <c r="B936" s="248"/>
      <c r="C936" s="248"/>
      <c r="K936" s="248"/>
    </row>
    <row r="937" spans="1:11" x14ac:dyDescent="0.25">
      <c r="A937" s="115"/>
      <c r="B937" s="248"/>
      <c r="C937" s="248"/>
      <c r="K937" s="248"/>
    </row>
    <row r="938" spans="1:11" x14ac:dyDescent="0.25">
      <c r="A938" s="115"/>
      <c r="B938" s="248"/>
      <c r="C938" s="248"/>
      <c r="K938" s="248"/>
    </row>
    <row r="939" spans="1:11" x14ac:dyDescent="0.25">
      <c r="A939" s="115"/>
      <c r="B939" s="248"/>
      <c r="C939" s="248"/>
      <c r="K939" s="248"/>
    </row>
    <row r="940" spans="1:11" x14ac:dyDescent="0.25">
      <c r="A940" s="115"/>
      <c r="B940" s="248"/>
      <c r="C940" s="248"/>
      <c r="K940" s="248"/>
    </row>
    <row r="941" spans="1:11" x14ac:dyDescent="0.25">
      <c r="A941" s="115"/>
      <c r="B941" s="248"/>
      <c r="C941" s="248"/>
      <c r="K941" s="248"/>
    </row>
    <row r="942" spans="1:11" x14ac:dyDescent="0.25">
      <c r="A942" s="115"/>
      <c r="B942" s="248"/>
      <c r="C942" s="248"/>
      <c r="K942" s="248"/>
    </row>
    <row r="943" spans="1:11" x14ac:dyDescent="0.25">
      <c r="A943" s="115"/>
      <c r="B943" s="248"/>
      <c r="C943" s="248"/>
      <c r="K943" s="248"/>
    </row>
    <row r="944" spans="1:11" x14ac:dyDescent="0.25">
      <c r="A944" s="115"/>
      <c r="B944" s="248"/>
      <c r="C944" s="248"/>
      <c r="K944" s="248"/>
    </row>
    <row r="945" spans="1:11" x14ac:dyDescent="0.25">
      <c r="A945" s="115"/>
      <c r="B945" s="248"/>
      <c r="C945" s="248"/>
      <c r="K945" s="248"/>
    </row>
    <row r="946" spans="1:11" x14ac:dyDescent="0.25">
      <c r="A946" s="115"/>
      <c r="B946" s="248"/>
      <c r="C946" s="248"/>
      <c r="K946" s="248"/>
    </row>
    <row r="947" spans="1:11" x14ac:dyDescent="0.25">
      <c r="A947" s="115"/>
      <c r="B947" s="248"/>
      <c r="C947" s="248"/>
      <c r="K947" s="248"/>
    </row>
    <row r="948" spans="1:11" x14ac:dyDescent="0.25">
      <c r="A948" s="115"/>
      <c r="B948" s="248"/>
      <c r="C948" s="248"/>
      <c r="K948" s="248"/>
    </row>
    <row r="949" spans="1:11" x14ac:dyDescent="0.25">
      <c r="A949" s="115"/>
      <c r="B949" s="248"/>
      <c r="C949" s="248"/>
      <c r="K949" s="248"/>
    </row>
    <row r="950" spans="1:11" x14ac:dyDescent="0.25">
      <c r="A950" s="115"/>
      <c r="B950" s="248"/>
      <c r="C950" s="248"/>
      <c r="K950" s="248"/>
    </row>
    <row r="951" spans="1:11" x14ac:dyDescent="0.25">
      <c r="A951" s="115"/>
      <c r="B951" s="248"/>
      <c r="C951" s="248"/>
      <c r="K951" s="248"/>
    </row>
    <row r="952" spans="1:11" x14ac:dyDescent="0.25">
      <c r="A952" s="115"/>
      <c r="B952" s="248"/>
      <c r="C952" s="248"/>
      <c r="K952" s="248"/>
    </row>
    <row r="953" spans="1:11" x14ac:dyDescent="0.25">
      <c r="A953" s="115"/>
      <c r="B953" s="248"/>
      <c r="C953" s="248"/>
      <c r="K953" s="248"/>
    </row>
    <row r="954" spans="1:11" x14ac:dyDescent="0.25">
      <c r="A954" s="115"/>
      <c r="B954" s="248"/>
      <c r="C954" s="248"/>
      <c r="K954" s="248"/>
    </row>
    <row r="955" spans="1:11" x14ac:dyDescent="0.25">
      <c r="A955" s="115"/>
      <c r="B955" s="248"/>
      <c r="C955" s="248"/>
      <c r="K955" s="248"/>
    </row>
    <row r="956" spans="1:11" x14ac:dyDescent="0.25">
      <c r="A956" s="115"/>
      <c r="B956" s="248"/>
      <c r="C956" s="248"/>
      <c r="K956" s="248"/>
    </row>
    <row r="957" spans="1:11" x14ac:dyDescent="0.25">
      <c r="A957" s="115"/>
      <c r="B957" s="248"/>
      <c r="C957" s="248"/>
      <c r="K957" s="248"/>
    </row>
    <row r="958" spans="1:11" x14ac:dyDescent="0.25">
      <c r="A958" s="115"/>
      <c r="B958" s="248"/>
      <c r="C958" s="248"/>
      <c r="K958" s="248"/>
    </row>
    <row r="959" spans="1:11" x14ac:dyDescent="0.25">
      <c r="A959" s="115"/>
      <c r="B959" s="248"/>
      <c r="C959" s="248"/>
      <c r="K959" s="248"/>
    </row>
    <row r="960" spans="1:11" x14ac:dyDescent="0.25">
      <c r="A960" s="115"/>
      <c r="B960" s="248"/>
      <c r="C960" s="248"/>
      <c r="K960" s="248"/>
    </row>
    <row r="961" spans="1:11" x14ac:dyDescent="0.25">
      <c r="A961" s="115"/>
      <c r="B961" s="248"/>
      <c r="C961" s="248"/>
      <c r="K961" s="248"/>
    </row>
    <row r="962" spans="1:11" x14ac:dyDescent="0.25">
      <c r="A962" s="115"/>
      <c r="B962" s="248"/>
      <c r="C962" s="248"/>
      <c r="K962" s="248"/>
    </row>
    <row r="963" spans="1:11" x14ac:dyDescent="0.25">
      <c r="A963" s="115"/>
      <c r="B963" s="248"/>
      <c r="C963" s="248"/>
      <c r="K963" s="248"/>
    </row>
    <row r="964" spans="1:11" x14ac:dyDescent="0.25">
      <c r="A964" s="115"/>
      <c r="B964" s="248"/>
      <c r="C964" s="248"/>
      <c r="K964" s="248"/>
    </row>
    <row r="965" spans="1:11" x14ac:dyDescent="0.25">
      <c r="A965" s="115"/>
      <c r="B965" s="248"/>
      <c r="C965" s="248"/>
      <c r="K965" s="248"/>
    </row>
    <row r="966" spans="1:11" x14ac:dyDescent="0.25">
      <c r="A966" s="115"/>
      <c r="B966" s="248"/>
      <c r="C966" s="248"/>
      <c r="K966" s="248"/>
    </row>
    <row r="967" spans="1:11" x14ac:dyDescent="0.25">
      <c r="A967" s="115"/>
      <c r="B967" s="248"/>
      <c r="C967" s="248"/>
      <c r="K967" s="248"/>
    </row>
    <row r="968" spans="1:11" x14ac:dyDescent="0.25">
      <c r="A968" s="115"/>
      <c r="B968" s="248"/>
      <c r="C968" s="248"/>
      <c r="K968" s="248"/>
    </row>
    <row r="969" spans="1:11" x14ac:dyDescent="0.25">
      <c r="A969" s="115"/>
      <c r="B969" s="248"/>
      <c r="C969" s="248"/>
      <c r="K969" s="248"/>
    </row>
    <row r="970" spans="1:11" x14ac:dyDescent="0.25">
      <c r="A970" s="115"/>
      <c r="B970" s="248"/>
      <c r="C970" s="248"/>
      <c r="K970" s="248"/>
    </row>
    <row r="971" spans="1:11" x14ac:dyDescent="0.25">
      <c r="A971" s="115"/>
      <c r="B971" s="248"/>
      <c r="C971" s="248"/>
      <c r="K971" s="248"/>
    </row>
    <row r="972" spans="1:11" x14ac:dyDescent="0.25">
      <c r="A972" s="115"/>
      <c r="B972" s="248"/>
      <c r="C972" s="248"/>
      <c r="K972" s="248"/>
    </row>
    <row r="973" spans="1:11" x14ac:dyDescent="0.25">
      <c r="A973" s="115"/>
      <c r="B973" s="248"/>
      <c r="C973" s="248"/>
      <c r="K973" s="248"/>
    </row>
    <row r="974" spans="1:11" x14ac:dyDescent="0.25">
      <c r="A974" s="115"/>
      <c r="B974" s="248"/>
      <c r="C974" s="248"/>
      <c r="K974" s="248"/>
    </row>
    <row r="975" spans="1:11" x14ac:dyDescent="0.25">
      <c r="A975" s="115"/>
      <c r="B975" s="248"/>
      <c r="C975" s="248"/>
      <c r="K975" s="248"/>
    </row>
    <row r="976" spans="1:11" x14ac:dyDescent="0.25">
      <c r="A976" s="115"/>
      <c r="B976" s="248"/>
      <c r="C976" s="248"/>
      <c r="K976" s="248"/>
    </row>
    <row r="977" spans="1:11" x14ac:dyDescent="0.25">
      <c r="A977" s="115"/>
      <c r="B977" s="248"/>
      <c r="C977" s="248"/>
      <c r="K977" s="248"/>
    </row>
    <row r="978" spans="1:11" x14ac:dyDescent="0.25">
      <c r="A978" s="115"/>
      <c r="B978" s="248"/>
      <c r="C978" s="248"/>
      <c r="K978" s="248"/>
    </row>
    <row r="979" spans="1:11" x14ac:dyDescent="0.25">
      <c r="A979" s="115"/>
      <c r="B979" s="248"/>
      <c r="C979" s="248"/>
      <c r="K979" s="248"/>
    </row>
    <row r="980" spans="1:11" x14ac:dyDescent="0.25">
      <c r="A980" s="115"/>
      <c r="B980" s="248"/>
      <c r="C980" s="248"/>
      <c r="K980" s="248"/>
    </row>
    <row r="981" spans="1:11" x14ac:dyDescent="0.25">
      <c r="A981" s="115"/>
      <c r="B981" s="248"/>
      <c r="C981" s="248"/>
      <c r="K981" s="248"/>
    </row>
    <row r="982" spans="1:11" x14ac:dyDescent="0.25">
      <c r="A982" s="115"/>
      <c r="B982" s="248"/>
      <c r="C982" s="248"/>
      <c r="K982" s="248"/>
    </row>
    <row r="983" spans="1:11" x14ac:dyDescent="0.25">
      <c r="A983" s="115"/>
      <c r="B983" s="248"/>
      <c r="C983" s="248"/>
      <c r="K983" s="248"/>
    </row>
    <row r="984" spans="1:11" x14ac:dyDescent="0.25">
      <c r="A984" s="115"/>
      <c r="B984" s="248"/>
      <c r="C984" s="248"/>
      <c r="K984" s="248"/>
    </row>
    <row r="985" spans="1:11" x14ac:dyDescent="0.25">
      <c r="A985" s="115"/>
      <c r="B985" s="248"/>
      <c r="C985" s="248"/>
      <c r="K985" s="248"/>
    </row>
    <row r="986" spans="1:11" x14ac:dyDescent="0.25">
      <c r="A986" s="115"/>
      <c r="B986" s="248"/>
      <c r="C986" s="248"/>
      <c r="K986" s="248"/>
    </row>
    <row r="987" spans="1:11" x14ac:dyDescent="0.25">
      <c r="A987" s="115"/>
      <c r="B987" s="248"/>
      <c r="C987" s="248"/>
      <c r="K987" s="248"/>
    </row>
    <row r="988" spans="1:11" x14ac:dyDescent="0.25">
      <c r="A988" s="115"/>
      <c r="B988" s="248"/>
      <c r="C988" s="248"/>
      <c r="K988" s="248"/>
    </row>
    <row r="989" spans="1:11" x14ac:dyDescent="0.25">
      <c r="A989" s="115"/>
      <c r="B989" s="248"/>
      <c r="C989" s="248"/>
      <c r="K989" s="248"/>
    </row>
    <row r="990" spans="1:11" x14ac:dyDescent="0.25">
      <c r="A990" s="115"/>
      <c r="B990" s="248"/>
      <c r="C990" s="248"/>
      <c r="K990" s="248"/>
    </row>
    <row r="991" spans="1:11" x14ac:dyDescent="0.25">
      <c r="A991" s="115"/>
      <c r="B991" s="248"/>
      <c r="C991" s="248"/>
      <c r="K991" s="248"/>
    </row>
    <row r="992" spans="1:11" x14ac:dyDescent="0.25">
      <c r="A992" s="115"/>
      <c r="B992" s="248"/>
      <c r="C992" s="248"/>
      <c r="K992" s="248"/>
    </row>
    <row r="993" spans="1:11" x14ac:dyDescent="0.25">
      <c r="A993" s="115"/>
      <c r="B993" s="248"/>
      <c r="C993" s="248"/>
      <c r="K993" s="248"/>
    </row>
    <row r="994" spans="1:11" x14ac:dyDescent="0.25">
      <c r="A994" s="115"/>
      <c r="B994" s="248"/>
      <c r="C994" s="248"/>
      <c r="K994" s="248"/>
    </row>
    <row r="995" spans="1:11" x14ac:dyDescent="0.25">
      <c r="A995" s="115"/>
      <c r="B995" s="248"/>
      <c r="C995" s="248"/>
      <c r="K995" s="248"/>
    </row>
    <row r="996" spans="1:11" x14ac:dyDescent="0.25">
      <c r="A996" s="115"/>
      <c r="B996" s="248"/>
      <c r="C996" s="248"/>
      <c r="K996" s="248"/>
    </row>
    <row r="997" spans="1:11" x14ac:dyDescent="0.25">
      <c r="A997" s="115"/>
      <c r="B997" s="248"/>
      <c r="C997" s="248"/>
      <c r="K997" s="248"/>
    </row>
    <row r="998" spans="1:11" x14ac:dyDescent="0.25">
      <c r="A998" s="115"/>
      <c r="B998" s="248"/>
      <c r="C998" s="248"/>
      <c r="K998" s="248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11F8B53-04E6-45A5-8DE7-03536279705F}">
  <ds:schemaRefs/>
</ds:datastoreItem>
</file>

<file path=customXml/itemProps2.xml><?xml version="1.0" encoding="utf-8"?>
<ds:datastoreItem xmlns:ds="http://schemas.openxmlformats.org/officeDocument/2006/customXml" ds:itemID="{E814003E-952A-4FD1-9AEA-D4B61C944E02}">
  <ds:schemaRefs/>
</ds:datastoreItem>
</file>

<file path=customXml/itemProps3.xml><?xml version="1.0" encoding="utf-8"?>
<ds:datastoreItem xmlns:ds="http://schemas.openxmlformats.org/officeDocument/2006/customXml" ds:itemID="{030249ED-FC4C-43BC-A620-2F5544E8FB6C}">
  <ds:schemaRefs/>
</ds:datastoreItem>
</file>

<file path=customXml/itemProps4.xml><?xml version="1.0" encoding="utf-8"?>
<ds:datastoreItem xmlns:ds="http://schemas.openxmlformats.org/officeDocument/2006/customXml" ds:itemID="{77939CF8-3CD7-4A9A-BEAF-A52D9D35A1ED}">
  <ds:schemaRefs/>
</ds:datastoreItem>
</file>

<file path=customXml/itemProps5.xml><?xml version="1.0" encoding="utf-8"?>
<ds:datastoreItem xmlns:ds="http://schemas.openxmlformats.org/officeDocument/2006/customXml" ds:itemID="{974CA371-2B48-44DA-9C09-AB3CD5AEABC6}">
  <ds:schemaRefs/>
</ds:datastoreItem>
</file>

<file path=customXml/itemProps6.xml><?xml version="1.0" encoding="utf-8"?>
<ds:datastoreItem xmlns:ds="http://schemas.openxmlformats.org/officeDocument/2006/customXml" ds:itemID="{183A8A23-7801-4D82-BE43-EC9DF091E173}">
  <ds:schemaRefs/>
</ds:datastoreItem>
</file>

<file path=customXml/itemProps7.xml><?xml version="1.0" encoding="utf-8"?>
<ds:datastoreItem xmlns:ds="http://schemas.openxmlformats.org/officeDocument/2006/customXml" ds:itemID="{C9FC5788-7B19-48E9-8673-A257F494DE8C}">
  <ds:schemaRefs/>
</ds:datastoreItem>
</file>

<file path=customXml/itemProps8.xml><?xml version="1.0" encoding="utf-8"?>
<ds:datastoreItem xmlns:ds="http://schemas.openxmlformats.org/officeDocument/2006/customXml" ds:itemID="{D627DA8E-C7C8-4503-8956-619857383D3D}">
  <ds:schemaRefs/>
</ds:datastoreItem>
</file>

<file path=customXml/itemProps9.xml><?xml version="1.0" encoding="utf-8"?>
<ds:datastoreItem xmlns:ds="http://schemas.openxmlformats.org/officeDocument/2006/customXml" ds:itemID="{26841447-785B-41EC-B705-F030CB0493B4}">
  <ds:schemaRefs/>
</ds:datastoreItem>
</file>

<file path=customXml/itemProps10.xml><?xml version="1.0" encoding="utf-8"?>
<ds:datastoreItem xmlns:ds="http://schemas.openxmlformats.org/officeDocument/2006/customXml" ds:itemID="{799BDE73-291F-4A95-B3DC-2793ED1FF3EC}">
  <ds:schemaRefs/>
</ds:datastoreItem>
</file>

<file path=customXml/itemProps11.xml><?xml version="1.0" encoding="utf-8"?>
<ds:datastoreItem xmlns:ds="http://schemas.openxmlformats.org/officeDocument/2006/customXml" ds:itemID="{597EA4C5-8B88-4109-B51D-B65BDAC8F49E}">
  <ds:schemaRefs/>
</ds:datastoreItem>
</file>

<file path=customXml/itemProps12.xml><?xml version="1.0" encoding="utf-8"?>
<ds:datastoreItem xmlns:ds="http://schemas.openxmlformats.org/officeDocument/2006/customXml" ds:itemID="{A80CA8A3-BAAF-4080-BD19-94F352D530D3}">
  <ds:schemaRefs/>
</ds:datastoreItem>
</file>

<file path=customXml/itemProps13.xml><?xml version="1.0" encoding="utf-8"?>
<ds:datastoreItem xmlns:ds="http://schemas.openxmlformats.org/officeDocument/2006/customXml" ds:itemID="{26E8FA02-F6A2-4D9A-8346-46B06BD67BA3}">
  <ds:schemaRefs/>
</ds:datastoreItem>
</file>

<file path=customXml/itemProps14.xml><?xml version="1.0" encoding="utf-8"?>
<ds:datastoreItem xmlns:ds="http://schemas.openxmlformats.org/officeDocument/2006/customXml" ds:itemID="{89965423-F5E0-4869-9E41-C182605605D3}">
  <ds:schemaRefs/>
</ds:datastoreItem>
</file>

<file path=customXml/itemProps15.xml><?xml version="1.0" encoding="utf-8"?>
<ds:datastoreItem xmlns:ds="http://schemas.openxmlformats.org/officeDocument/2006/customXml" ds:itemID="{CC107BE0-845C-42C2-AD2B-5222DB1F08BD}">
  <ds:schemaRefs/>
</ds:datastoreItem>
</file>

<file path=customXml/itemProps16.xml><?xml version="1.0" encoding="utf-8"?>
<ds:datastoreItem xmlns:ds="http://schemas.openxmlformats.org/officeDocument/2006/customXml" ds:itemID="{3F9D0D4B-82E3-45ED-B1C0-B91122B5A40D}">
  <ds:schemaRefs/>
</ds:datastoreItem>
</file>

<file path=customXml/itemProps17.xml><?xml version="1.0" encoding="utf-8"?>
<ds:datastoreItem xmlns:ds="http://schemas.openxmlformats.org/officeDocument/2006/customXml" ds:itemID="{04AF9DFA-BD5F-4CF6-B9D5-0180A4E776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ANNEE</vt:lpstr>
      <vt:lpstr>TABLEAU ANNUEL</vt:lpstr>
      <vt:lpstr>Résumé BUDGET Mensuel</vt:lpstr>
      <vt:lpstr>Résumé BUDGET Trimestriel</vt:lpstr>
      <vt:lpstr>TABLEAU TRIMESTRIEL</vt:lpstr>
      <vt:lpstr>Janvier</vt:lpstr>
      <vt:lpstr>Février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Décembre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wasemo NDOUDI</dc:creator>
  <cp:lastModifiedBy>wasemo NDOUDI</cp:lastModifiedBy>
  <dcterms:created xsi:type="dcterms:W3CDTF">2025-07-25T10:54:18Z</dcterms:created>
  <dcterms:modified xsi:type="dcterms:W3CDTF">2026-02-12T00:58:12Z</dcterms:modified>
</cp:coreProperties>
</file>